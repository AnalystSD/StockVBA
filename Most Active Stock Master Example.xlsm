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esktop\Portfolio Projects\WS\Most Active Stocks\"/>
    </mc:Choice>
  </mc:AlternateContent>
  <xr:revisionPtr revIDLastSave="0" documentId="13_ncr:1_{8171639C-ABFE-4064-A199-4CB1A0EA95F8}" xr6:coauthVersionLast="47" xr6:coauthVersionMax="47" xr10:uidLastSave="{00000000-0000-0000-0000-000000000000}"/>
  <bookViews>
    <workbookView xWindow="-110" yWindow="-110" windowWidth="19420" windowHeight="10300" xr2:uid="{A4DF3967-8007-4942-A757-4FE34EE73EEB}"/>
  </bookViews>
  <sheets>
    <sheet name="Control Panel" sheetId="3" r:id="rId1"/>
    <sheet name="Power Query" sheetId="2" r:id="rId2"/>
    <sheet name="Dashboard" sheetId="4" r:id="rId3"/>
  </sheets>
  <definedNames>
    <definedName name="_xlchart.v1.0" hidden="1">'Power Query'!$A$2:$A$101</definedName>
    <definedName name="_xlchart.v1.1" hidden="1">'Power Query'!$D$2:$D$101</definedName>
    <definedName name="ExternalData_1" localSheetId="1" hidden="1">'Power Query'!$A$1:$G$101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4" l="1" a="1"/>
  <c r="E9" i="4" s="1"/>
  <c r="D2" i="4"/>
  <c r="F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7BE18-7413-4559-98F8-ACFE1479431F}" keepAlive="1" name="Query - YahooMostActiveWS" description="Connection to the 'YahooMostActiveWS' query in the workbook." type="5" refreshedVersion="8" background="1" saveData="1">
    <dbPr connection="Provider=Microsoft.Mashup.OleDb.1;Data Source=$Workbook$;Location=YahooMostActiveWS;Extended Properties=&quot;&quot;" command="SELECT * FROM [YahooMostActiveW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<sst xmlns="http://schemas.openxmlformats.org/spreadsheetml/2006/main" count="223" uniqueCount="116">
  <si>
    <t>Name</t>
  </si>
  <si>
    <t>Price</t>
  </si>
  <si>
    <t>Change</t>
  </si>
  <si>
    <t>Volume</t>
  </si>
  <si>
    <t>Market Cap</t>
  </si>
  <si>
    <t>Date</t>
  </si>
  <si>
    <t>Time</t>
  </si>
  <si>
    <t>Tesla, Inc.</t>
  </si>
  <si>
    <t>Rivian Automotive, Inc.</t>
  </si>
  <si>
    <t>Ford Motor Company</t>
  </si>
  <si>
    <t>Carnival Corporation &amp; plc</t>
  </si>
  <si>
    <t>Palantir Technologies Inc.</t>
  </si>
  <si>
    <t>NIO Inc.</t>
  </si>
  <si>
    <t>Bank of America Corporation</t>
  </si>
  <si>
    <t>Marathon Digital Holdings, Inc.</t>
  </si>
  <si>
    <t>Meta Platforms, Inc.</t>
  </si>
  <si>
    <t>Lucid Group, Inc.</t>
  </si>
  <si>
    <t>Advanced Micro Devices, Inc.</t>
  </si>
  <si>
    <t>Intel Corporation</t>
  </si>
  <si>
    <t>Apple Inc.</t>
  </si>
  <si>
    <t>SoFi Technologies, Inc.</t>
  </si>
  <si>
    <t>Plug Power Inc.</t>
  </si>
  <si>
    <t>Amazon.com, Inc.</t>
  </si>
  <si>
    <t>PG&amp;E Corporation</t>
  </si>
  <si>
    <t>C3.ai, Inc.</t>
  </si>
  <si>
    <t>AT&amp;T Inc.</t>
  </si>
  <si>
    <t>NVIDIA Corporation</t>
  </si>
  <si>
    <t>Affirm Holdings, Inc.</t>
  </si>
  <si>
    <t>Microsoft Corporation</t>
  </si>
  <si>
    <t>American Airlines Group Inc.</t>
  </si>
  <si>
    <t>Pfizer Inc.</t>
  </si>
  <si>
    <t>Riot Platforms, Inc.</t>
  </si>
  <si>
    <t>Banco Bradesco S.A.</t>
  </si>
  <si>
    <t>Vale S.A.</t>
  </si>
  <si>
    <t>Opendoor Technologies Inc.</t>
  </si>
  <si>
    <t>KeyCorp</t>
  </si>
  <si>
    <t>Southwestern Energy Company</t>
  </si>
  <si>
    <t>Snap Inc.</t>
  </si>
  <si>
    <t>AMC Entertainment Holdings, Inc.</t>
  </si>
  <si>
    <t>Alphabet Inc.</t>
  </si>
  <si>
    <t>Verizon Communications Inc.</t>
  </si>
  <si>
    <t>Lyft, Inc.</t>
  </si>
  <si>
    <t>Uber Technologies, Inc.</t>
  </si>
  <si>
    <t>Keurig Dr Pepper Inc.</t>
  </si>
  <si>
    <t>XPeng Inc.</t>
  </si>
  <si>
    <t>Barrick Gold Corporation</t>
  </si>
  <si>
    <t>Micron Technology, Inc.</t>
  </si>
  <si>
    <t>Itaú Unibanco Holding S.A.</t>
  </si>
  <si>
    <t>Exxon Mobil Corporation</t>
  </si>
  <si>
    <t>Citigroup Inc.</t>
  </si>
  <si>
    <t>Nu Holdings Ltd.</t>
  </si>
  <si>
    <t>Ginkgo Bioworks Holdings, Inc.</t>
  </si>
  <si>
    <t>Farfetch Limited</t>
  </si>
  <si>
    <t>ChargePoint Holdings, Inc.</t>
  </si>
  <si>
    <t>Carvana Co.</t>
  </si>
  <si>
    <t>Norwegian Cruise Line Holdings Ltd.</t>
  </si>
  <si>
    <t>Wells Fargo &amp; Company</t>
  </si>
  <si>
    <t>Alibaba Group Holding Limited</t>
  </si>
  <si>
    <t>Sirius XM Holdings Inc.</t>
  </si>
  <si>
    <t>DISH Network Corporation</t>
  </si>
  <si>
    <t>iQIYI, Inc.</t>
  </si>
  <si>
    <t>The Walt Disney Company</t>
  </si>
  <si>
    <t>Truist Financial Corporation</t>
  </si>
  <si>
    <t>Warner Bros. Discovery, Inc.</t>
  </si>
  <si>
    <t>U.S. Bancorp</t>
  </si>
  <si>
    <t>IonQ, Inc.</t>
  </si>
  <si>
    <t>CSX Corporation</t>
  </si>
  <si>
    <t>Grab Holdings Limited</t>
  </si>
  <si>
    <t>Cisco Systems, Inc.</t>
  </si>
  <si>
    <t>General Motors Company</t>
  </si>
  <si>
    <t>Nokia Oyj</t>
  </si>
  <si>
    <t>Walgreens Boots Alliance, Inc.</t>
  </si>
  <si>
    <t>Roku, Inc.</t>
  </si>
  <si>
    <t>QuantumScape Corporation</t>
  </si>
  <si>
    <t>DiDi Global Inc.</t>
  </si>
  <si>
    <t>TAL Education Group</t>
  </si>
  <si>
    <t>Avantor, Inc.</t>
  </si>
  <si>
    <t>Comcast Corporation</t>
  </si>
  <si>
    <t>RLX Technology Inc.</t>
  </si>
  <si>
    <t>Lufax Holding Ltd</t>
  </si>
  <si>
    <t>Bilibili Inc.</t>
  </si>
  <si>
    <t>JD.com, Inc.</t>
  </si>
  <si>
    <t>New York Community Bancorp, Inc.</t>
  </si>
  <si>
    <t>Enphase Energy, Inc.</t>
  </si>
  <si>
    <t>Juniper Networks, Inc.</t>
  </si>
  <si>
    <t>CNH Industrial N.V.</t>
  </si>
  <si>
    <t>Johnson &amp; Johnson</t>
  </si>
  <si>
    <t>Li Auto Inc.</t>
  </si>
  <si>
    <t>KE Holdings Inc.</t>
  </si>
  <si>
    <t>Kenvue Inc.</t>
  </si>
  <si>
    <t>Coupang, Inc.</t>
  </si>
  <si>
    <t>Tencent Music Entertainment Group</t>
  </si>
  <si>
    <t>Live Nation Entertainment, Inc.</t>
  </si>
  <si>
    <t>Southwest Airlines Co.</t>
  </si>
  <si>
    <t>Reata Pharmaceuticals, Inc.</t>
  </si>
  <si>
    <t>Fisker Inc.</t>
  </si>
  <si>
    <t>Upstart Holdings, Inc.</t>
  </si>
  <si>
    <t>QUALCOMM Incorporated</t>
  </si>
  <si>
    <t>PDD Holdings Inc.</t>
  </si>
  <si>
    <t>RTX Corporation</t>
  </si>
  <si>
    <t>Bristol-Myers Squibb Company</t>
  </si>
  <si>
    <t>First Solar, Inc.</t>
  </si>
  <si>
    <t>Equitrans Midstream Corporation</t>
  </si>
  <si>
    <t>United States Steel Corporation</t>
  </si>
  <si>
    <t>TC Energy Corporation</t>
  </si>
  <si>
    <t>Stock Activity</t>
  </si>
  <si>
    <t>As of:</t>
  </si>
  <si>
    <t>Step 1:</t>
  </si>
  <si>
    <t>Step 2:</t>
  </si>
  <si>
    <t>Recommendations:</t>
  </si>
  <si>
    <t>Row Labels</t>
  </si>
  <si>
    <t>Grand Total</t>
  </si>
  <si>
    <t>Step 3:</t>
  </si>
  <si>
    <t>SEARCH BAR</t>
  </si>
  <si>
    <t>% of Total Col Volume</t>
  </si>
  <si>
    <t>% of Total Col 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</si>
</sst>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/>
    <xf numFmtId="10" fontId="0" fillId="0" borderId="0" xfId="0" applyNumberFormat="1"/>
    <xf numFmtId="0" fontId="1" fillId="2" borderId="9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5" fillId="2" borderId="0" xfId="0" applyFont="1" applyFill="1"/>
    <xf numFmtId="14" fontId="0" fillId="3" borderId="5" xfId="0" applyNumberFormat="1" applyFill="1" applyBorder="1"/>
    <xf numFmtId="0" fontId="1" fillId="3" borderId="4" xfId="0" applyFont="1" applyFill="1" applyBorder="1" applyAlignment="1">
      <alignment horizontal="center"/>
    </xf>
    <xf numFmtId="0" fontId="2" fillId="3" borderId="0" xfId="0" applyFont="1" applyFill="1" applyAlignment="1">
      <alignment horizontal="center" vertical="top"/>
    </xf>
    <xf numFmtId="0" fontId="3" fillId="3" borderId="0" xfId="0" applyFont="1" applyFill="1" applyAlignment="1">
      <alignment horizontal="center" vertical="top"/>
    </xf>
    <xf numFmtId="0" fontId="3" fillId="3" borderId="3" xfId="0" applyFont="1" applyFill="1" applyBorder="1" applyAlignment="1">
      <alignment horizontal="center" vertical="top"/>
    </xf>
    <xf numFmtId="0" fontId="3" fillId="3" borderId="1" xfId="0" applyFont="1" applyFill="1" applyBorder="1" applyAlignment="1">
      <alignment horizontal="center" vertical="top"/>
    </xf>
    <xf numFmtId="0" fontId="3" fillId="3" borderId="2" xfId="0" applyFont="1" applyFill="1" applyBorder="1" applyAlignment="1">
      <alignment horizontal="center" vertical="top"/>
    </xf>
  </cellXfs>
  <cellStyles count="1">
    <cellStyle name="Normal" xfId="0" builtinId="0"/>
  </cellStyles>
  <dxfs count="4">
    <dxf>
      <numFmt numFmtId="164" formatCode="[$-F400]h:mm:ss\ AM/PM"/>
    </dxf>
    <dxf>
      <numFmt numFmtId="19" formatCode="m/d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Automotive</a:t>
            </a:r>
            <a:r>
              <a:rPr lang="en-US" baseline="0"/>
              <a:t> </a:t>
            </a:r>
            <a:r>
              <a:rPr lang="en-US"/>
              <a:t>Stock Trading Volume</a:t>
            </a:r>
          </a:p>
        </c:rich>
      </c:tx>
      <c:layout>
        <c:manualLayout>
          <c:xMode val="edge"/>
          <c:yMode val="edge"/>
          <c:x val="0.15379762140297654"/>
          <c:y val="2.62405459135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Stock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2E-4519-A8CD-57AB316B35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2E-4519-A8CD-57AB316B35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2E-4519-A8CD-57AB316B35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2E-4519-A8CD-57AB316B35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2E-4519-A8CD-57AB316B35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42E-4519-A8CD-57AB316B35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42E-4519-A8CD-57AB316B352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'Power Query'!$A$2:$A$101</c15:sqref>
                  </c15:fullRef>
                </c:ext>
              </c:extLst>
              <c:f>('Power Query'!$A$2:$A$4,'Power Query'!$A$7,'Power Query'!$A$14,'Power Query'!$A$51,'Power Query'!$A$85)</c:f>
              <c:strCache>
                <c:ptCount val="7"/>
                <c:pt idx="0">
                  <c:v>Ford Motor Company</c:v>
                </c:pt>
                <c:pt idx="1">
                  <c:v>NIO Inc.</c:v>
                </c:pt>
                <c:pt idx="2">
                  <c:v>Tesla, Inc.</c:v>
                </c:pt>
                <c:pt idx="3">
                  <c:v>Lucid Group, Inc.</c:v>
                </c:pt>
                <c:pt idx="4">
                  <c:v>Rivian Automotive, Inc.</c:v>
                </c:pt>
                <c:pt idx="5">
                  <c:v>General Motors Company</c:v>
                </c:pt>
                <c:pt idx="6">
                  <c:v>Fisker Inc.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'Power Query'!$D$2:$D$101</c15:sqref>
                  </c15:fullRef>
                </c:ext>
              </c:extLst>
              <c:f>('Power Query'!$D$2:$D$4,'Power Query'!$D$7,'Power Query'!$D$14,'Power Query'!$D$51,'Power Query'!$D$85)</c:f>
              <c:numCache>
                <c:formatCode>General</c:formatCode>
                <c:ptCount val="7"/>
                <c:pt idx="0">
                  <c:v>116697000</c:v>
                </c:pt>
                <c:pt idx="1">
                  <c:v>115316000</c:v>
                </c:pt>
                <c:pt idx="2">
                  <c:v>111446000</c:v>
                </c:pt>
                <c:pt idx="3">
                  <c:v>68241000</c:v>
                </c:pt>
                <c:pt idx="4">
                  <c:v>48754000</c:v>
                </c:pt>
                <c:pt idx="5">
                  <c:v>17483000</c:v>
                </c:pt>
                <c:pt idx="6">
                  <c:v>11946000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9825-478F-950C-92312DBFE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Stock Trading Volume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Stock Trading Volume</a:t>
          </a:r>
        </a:p>
      </cx:txPr>
    </cx:title>
    <cx:plotArea>
      <cx:plotAreaRegion>
        <cx:series layoutId="treemap" uniqueId="{7BDE6F1B-35E6-4200-BDF2-6BF066CA0DE0}">
          <cx:tx>
            <cx:txData>
              <cx:f/>
              <cx:v>Stocks</cx:v>
            </cx:txData>
          </cx:tx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44450</xdr:rowOff>
        </xdr:from>
        <xdr:to>
          <xdr:col>3</xdr:col>
          <xdr:colOff>558800</xdr:colOff>
          <xdr:row>5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50800</xdr:rowOff>
        </xdr:from>
        <xdr:to>
          <xdr:col>3</xdr:col>
          <xdr:colOff>546100</xdr:colOff>
          <xdr:row>10</xdr:row>
          <xdr:rowOff>158750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13</xdr:row>
          <xdr:rowOff>57150</xdr:rowOff>
        </xdr:from>
        <xdr:to>
          <xdr:col>3</xdr:col>
          <xdr:colOff>596900</xdr:colOff>
          <xdr:row>16</xdr:row>
          <xdr:rowOff>158750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&amp; Save 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47136</xdr:colOff>
      <xdr:row>0</xdr:row>
      <xdr:rowOff>180242</xdr:rowOff>
    </xdr:from>
    <xdr:to>
      <xdr:col>11</xdr:col>
      <xdr:colOff>511256</xdr:colOff>
      <xdr:row>16</xdr:row>
      <xdr:rowOff>88248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80352</xdr:colOff>
      <xdr:row>16</xdr:row>
      <xdr:rowOff>151260</xdr:rowOff>
    </xdr:from>
    <xdr:to>
      <xdr:col>11</xdr:col>
      <xdr:colOff>1713685</xdr:colOff>
      <xdr:row>32</xdr:row>
      <xdr:rowOff>113159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53302" y="3110360"/>
              <a:ext cx="4808333" cy="29082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stian" refreshedDate="45308.015913078707" createdVersion="8" refreshedVersion="8" minRefreshableVersion="3" recordCount="100" xr:uid="{437E6FD8-F207-48CF-AF36-FD015758ED25}">
  <cacheSource type="worksheet">
    <worksheetSource name="Stock_Market"/>
  </cacheSource>
  <cacheFields count="8">
    <cacheField name="Name" numFmtId="0">
      <sharedItems count="98">
        <s v="Ford Motor Company"/>
        <s v="NIO Inc."/>
        <s v="Tesla, Inc."/>
        <s v="Palantir Technologies Inc."/>
        <s v="Intel Corporation"/>
        <s v="Lucid Group, Inc."/>
        <s v="Roku, Inc."/>
        <s v="XPeng Inc."/>
        <s v="SoFi Technologies, Inc."/>
        <s v="Advanced Micro Devices, Inc."/>
        <s v="AT&amp;T Inc."/>
        <s v="Snap Inc."/>
        <s v="Rivian Automotive, Inc."/>
        <s v="Apple Inc."/>
        <s v="Amazon.com, Inc."/>
        <s v="QuantumScape Corporation"/>
        <s v="Meta Platforms, Inc."/>
        <s v="Alphabet Inc."/>
        <s v="Bank of America Corporation"/>
        <s v="NVIDIA Corporation"/>
        <s v="Alibaba Group Holding Limited"/>
        <s v="Vale S.A."/>
        <s v="Verizon Communications Inc."/>
        <s v="Microsoft Corporation"/>
        <s v="Cisco Systems, Inc."/>
        <s v="Banco Bradesco S.A."/>
        <s v="iQIYI, Inc."/>
        <s v="DiDi Global Inc."/>
        <s v="TAL Education Group"/>
        <s v="Opendoor Technologies Inc."/>
        <s v="AMC Entertainment Holdings, Inc."/>
        <s v="Carnival Corporation &amp; plc"/>
        <s v="Pfizer Inc."/>
        <s v="Carvana Co."/>
        <s v="Avantor, Inc."/>
        <s v="Marathon Digital Holdings, Inc."/>
        <s v="Citigroup Inc."/>
        <s v="Ginkgo Bioworks Holdings, Inc."/>
        <s v="Comcast Corporation"/>
        <s v="Nu Holdings Ltd."/>
        <s v="RLX Technology Inc."/>
        <s v="Sirius XM Holdings Inc."/>
        <s v="Lufax Holding Ltd"/>
        <s v="Southwestern Energy Company"/>
        <s v="American Airlines Group Inc."/>
        <s v="Bilibili Inc."/>
        <s v="Grab Holdings Limited"/>
        <s v="Exxon Mobil Corporation"/>
        <s v="General Motors Company"/>
        <s v="Uber Technologies, Inc."/>
        <s v="JD.com, Inc."/>
        <s v="Riot Platforms, Inc."/>
        <s v="Plug Power Inc."/>
        <s v="Warner Bros. Discovery, Inc."/>
        <s v="New York Community Bancorp, Inc."/>
        <s v="C3.ai, Inc."/>
        <s v="Lyft, Inc."/>
        <s v="Enphase Energy, Inc."/>
        <s v="Juniper Networks, Inc."/>
        <s v="KeyCorp"/>
        <s v="IonQ, Inc."/>
        <s v="Keurig Dr Pepper Inc."/>
        <s v="CNH Industrial N.V."/>
        <s v="DISH Network Corporation"/>
        <s v="Johnson &amp; Johnson"/>
        <s v="The Walt Disney Company"/>
        <s v="Itaú Unibanco Holding S.A."/>
        <s v="Li Auto Inc."/>
        <s v="KE Holdings Inc."/>
        <s v="Kenvue Inc."/>
        <s v="Coupang, Inc."/>
        <s v="Tencent Music Entertainment Group"/>
        <s v="Wells Fargo &amp; Company"/>
        <s v="Live Nation Entertainment, Inc."/>
        <s v="Southwest Airlines Co."/>
        <s v="Reata Pharmaceuticals, Inc."/>
        <s v="Farfetch Limited"/>
        <s v="Nokia Oyj"/>
        <s v="PG&amp;E Corporation"/>
        <s v="CSX Corporation"/>
        <s v="Affirm Holdings, Inc."/>
        <s v="Fisker Inc."/>
        <s v="Micron Technology, Inc."/>
        <s v="Upstart Holdings, Inc."/>
        <s v="QUALCOMM Incorporated"/>
        <s v="PDD Holdings Inc."/>
        <s v="RTX Corporation"/>
        <s v="Bristol-Myers Squibb Company"/>
        <s v="U.S. Bancorp"/>
        <s v="Truist Financial Corporation"/>
        <s v="First Solar, Inc."/>
        <s v="Walgreens Boots Alliance, Inc."/>
        <s v="Barrick Gold Corporation"/>
        <s v="Norwegian Cruise Line Holdings Ltd."/>
        <s v="Equitrans Midstream Corporation"/>
        <s v="ChargePoint Holdings, Inc."/>
        <s v="United States Steel Corporation"/>
        <s v="TC Energy Corporation"/>
      </sharedItems>
    </cacheField>
    <cacheField name="Price" numFmtId="0">
      <sharedItems containsSemiMixedTypes="0" containsString="0" containsNumber="1" minValue="1.7" maxValue="467.5" count="100">
        <n v="13.26"/>
        <n v="14.74"/>
        <n v="266.44"/>
        <n v="17.809999999999999"/>
        <n v="36.83"/>
        <n v="7.47"/>
        <n v="89.61"/>
        <n v="23.39"/>
        <n v="9.5500000000000007"/>
        <n v="112.96"/>
        <n v="14.45"/>
        <n v="10.68"/>
        <n v="26.94"/>
        <n v="195.83"/>
        <n v="132.21"/>
        <n v="13.27"/>
        <n v="325.48"/>
        <n v="132.58000000000001"/>
        <n v="31.9"/>
        <n v="467.5"/>
        <n v="100.55"/>
        <n v="14.24"/>
        <n v="34.03"/>
        <n v="338.37"/>
        <n v="52.09"/>
        <n v="133.01"/>
        <n v="3.49"/>
        <n v="6.32"/>
        <n v="3.86"/>
        <n v="8"/>
        <n v="4.84"/>
        <n v="4.6399999999999997"/>
        <n v="18.489999999999998"/>
        <n v="36.07"/>
        <n v="44.02"/>
        <n v="21.28"/>
        <n v="16.7"/>
        <n v="47.41"/>
        <n v="2.44"/>
        <n v="45.23"/>
        <n v="7.9"/>
        <n v="1.7"/>
        <n v="5.1100000000000003"/>
        <n v="1.82"/>
        <n v="6.44"/>
        <n v="16.79"/>
        <n v="18.670000000000002"/>
        <n v="3.76"/>
        <n v="104.16"/>
        <n v="38.049999999999997"/>
        <n v="48.14"/>
        <n v="40.53"/>
        <n v="18.38"/>
        <n v="11.86"/>
        <n v="12.79"/>
        <n v="13.66"/>
        <n v="39.76"/>
        <n v="12.48"/>
        <n v="154.33000000000001"/>
        <n v="27.63"/>
        <n v="12.57"/>
        <n v="17.93"/>
        <n v="33.92"/>
        <n v="14.35"/>
        <n v="7.79"/>
        <n v="174.48"/>
        <n v="1.8"/>
        <n v="86.13"/>
        <n v="6"/>
        <n v="42.72"/>
        <n v="17.989999999999998"/>
        <n v="24.4"/>
        <n v="18.010000000000002"/>
        <n v="7.13"/>
        <n v="46.14"/>
        <n v="89.33"/>
        <n v="33.700000000000003"/>
        <n v="167.19"/>
        <n v="5.58"/>
        <n v="3.93"/>
        <n v="17.66"/>
        <n v="33.799999999999997"/>
        <n v="17.27"/>
        <n v="5.9"/>
        <n v="71.2"/>
        <n v="65.180000000000007"/>
        <n v="129.47999999999999"/>
        <n v="89.35"/>
        <n v="87.34"/>
        <n v="61.41"/>
        <n v="39.54"/>
        <n v="33.01"/>
        <n v="208.4"/>
        <n v="29.8"/>
        <n v="16.98"/>
        <n v="21.54"/>
        <n v="10.33"/>
        <n v="8.23"/>
        <n v="24.67"/>
        <n v="34.17"/>
      </sharedItems>
    </cacheField>
    <cacheField name="Change" numFmtId="0">
      <sharedItems containsSemiMixedTypes="0" containsString="0" containsNumber="1" minValue="-12.47" maxValue="58.64" count="88">
        <n v="-0.47"/>
        <n v="1.5"/>
        <n v="10.73"/>
        <n v="1.66"/>
        <n v="2.2799999999999998"/>
        <n v="0.57999999999999996"/>
        <n v="21.42"/>
        <n v="3.17"/>
        <n v="0.46"/>
        <n v="1.86"/>
        <n v="-0.06"/>
        <n v="0.35"/>
        <n v="0.89"/>
        <n v="2.61"/>
        <n v="3.96"/>
        <n v="2.56"/>
        <n v="13.77"/>
        <n v="3.18"/>
        <n v="-0.05"/>
        <n v="8.5"/>
        <n v="5.1100000000000003"/>
        <n v="-0.55000000000000004"/>
        <n v="0.48"/>
        <n v="7.65"/>
        <n v="-0.91"/>
        <n v="3.14"/>
        <n v="0.06"/>
        <n v="0.74"/>
        <n v="0.41"/>
        <n v="1.57"/>
        <n v="0.59"/>
        <n v="0.12"/>
        <n v="0.27"/>
        <n v="-0.13"/>
        <n v="3.56"/>
        <n v="-1.55"/>
        <n v="0.73"/>
        <n v="0.2"/>
        <n v="-0.12"/>
        <n v="0.17"/>
        <n v="0.3"/>
        <n v="0.19"/>
        <n v="0.22"/>
        <n v="2.4700000000000002"/>
        <n v="0.15"/>
        <n v="-1.26"/>
        <n v="-0.92"/>
        <n v="1.53"/>
        <n v="2.5499999999999998"/>
        <n v="0.78"/>
        <n v="0.21"/>
        <n v="0.5"/>
        <n v="0.65"/>
        <n v="1.55"/>
        <n v="0.53"/>
        <n v="-12.47"/>
        <n v="-2.06"/>
        <n v="0.31"/>
        <n v="2.4"/>
        <n v="0.16"/>
        <n v="-0.93"/>
        <n v="0.81"/>
        <n v="0.79"/>
        <n v="0.77"/>
        <n v="0.1"/>
        <n v="3.73"/>
        <n v="0.61"/>
        <n v="1.03"/>
        <n v="0.37"/>
        <n v="-7.6"/>
        <n v="0.68"/>
        <n v="58.64"/>
        <n v="0.33"/>
        <n v="0.03"/>
        <n v="7.0000000000000007E-2"/>
        <n v="0.84"/>
        <n v="0.26"/>
        <n v="0.13"/>
        <n v="6.24"/>
        <n v="3.63"/>
        <n v="4.82"/>
        <n v="2.17"/>
        <n v="0.72"/>
        <n v="1.02"/>
        <n v="9.6"/>
        <n v="-0.83"/>
        <n v="-0.36"/>
        <n v="-1.62"/>
      </sharedItems>
    </cacheField>
    <cacheField name="Volume" numFmtId="0">
      <sharedItems containsSemiMixedTypes="0" containsString="0" containsNumber="1" containsInteger="1" minValue="10988000" maxValue="116697000"/>
    </cacheField>
    <cacheField name="Market Cap" numFmtId="0">
      <sharedItems containsSemiMixedTypes="0" containsString="0" containsNumber="1" minValue="1.155" maxValue="844.48199999999997"/>
    </cacheField>
    <cacheField name="Date" numFmtId="14">
      <sharedItems containsSemiMixedTypes="0" containsNonDate="0" containsDate="1" containsString="0" minDate="2023-07-30T00:00:00" maxDate="2023-07-31T00:00:00"/>
    </cacheField>
    <cacheField name="Time" numFmtId="164">
      <sharedItems containsSemiMixedTypes="0" containsNonDate="0" containsDate="1" containsString="0" minDate="1899-12-30T17:48:00" maxDate="1899-12-30T17:48:00"/>
    </cacheField>
    <cacheField name="% of total Volume" numFmtId="0" formula="Volume/ SUM(Volume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x v="0"/>
    <x v="0"/>
    <n v="116697000"/>
    <n v="53.05"/>
    <d v="2023-07-30T00:00:00"/>
    <d v="1899-12-30T17:48:00"/>
  </r>
  <r>
    <x v="1"/>
    <x v="1"/>
    <x v="1"/>
    <n v="115316000"/>
    <n v="26.216999999999999"/>
    <d v="2023-07-30T00:00:00"/>
    <d v="1899-12-30T17:48:00"/>
  </r>
  <r>
    <x v="2"/>
    <x v="2"/>
    <x v="2"/>
    <n v="111446000"/>
    <n v="844.48199999999997"/>
    <d v="2023-07-30T00:00:00"/>
    <d v="1899-12-30T17:48:00"/>
  </r>
  <r>
    <x v="3"/>
    <x v="3"/>
    <x v="3"/>
    <n v="106126000"/>
    <n v="37.728999999999999"/>
    <d v="2023-07-30T00:00:00"/>
    <d v="1899-12-30T17:48:00"/>
  </r>
  <r>
    <x v="4"/>
    <x v="4"/>
    <x v="4"/>
    <n v="90863000"/>
    <n v="154.19900000000001"/>
    <d v="2023-07-30T00:00:00"/>
    <d v="1899-12-30T17:48:00"/>
  </r>
  <r>
    <x v="5"/>
    <x v="5"/>
    <x v="5"/>
    <n v="68241000"/>
    <n v="16.983000000000001"/>
    <d v="2023-07-30T00:00:00"/>
    <d v="1899-12-30T17:48:00"/>
  </r>
  <r>
    <x v="6"/>
    <x v="6"/>
    <x v="6"/>
    <n v="61302000"/>
    <n v="12.616"/>
    <d v="2023-07-30T00:00:00"/>
    <d v="1899-12-30T17:48:00"/>
  </r>
  <r>
    <x v="7"/>
    <x v="7"/>
    <x v="7"/>
    <n v="59550000"/>
    <n v="21.934000000000001"/>
    <d v="2023-07-30T00:00:00"/>
    <d v="1899-12-30T17:48:00"/>
  </r>
  <r>
    <x v="8"/>
    <x v="8"/>
    <x v="8"/>
    <n v="58205000"/>
    <n v="8.9860000000000007"/>
    <d v="2023-07-30T00:00:00"/>
    <d v="1899-12-30T17:48:00"/>
  </r>
  <r>
    <x v="9"/>
    <x v="9"/>
    <x v="9"/>
    <n v="55526000"/>
    <n v="181.90600000000001"/>
    <d v="2023-07-30T00:00:00"/>
    <d v="1899-12-30T17:48:00"/>
  </r>
  <r>
    <x v="10"/>
    <x v="10"/>
    <x v="10"/>
    <n v="51421000"/>
    <n v="103.303"/>
    <d v="2023-07-30T00:00:00"/>
    <d v="1899-12-30T17:48:00"/>
  </r>
  <r>
    <x v="11"/>
    <x v="11"/>
    <x v="11"/>
    <n v="49135000"/>
    <n v="17.106999999999999"/>
    <d v="2023-07-30T00:00:00"/>
    <d v="1899-12-30T17:48:00"/>
  </r>
  <r>
    <x v="12"/>
    <x v="12"/>
    <x v="12"/>
    <n v="48754000"/>
    <n v="25.306000000000001"/>
    <d v="2023-07-30T00:00:00"/>
    <d v="1899-12-30T17:48:00"/>
  </r>
  <r>
    <x v="13"/>
    <x v="13"/>
    <x v="13"/>
    <n v="48291000"/>
    <n v="3.08"/>
    <d v="2023-07-30T00:00:00"/>
    <d v="1899-12-30T17:48:00"/>
  </r>
  <r>
    <x v="14"/>
    <x v="14"/>
    <x v="14"/>
    <n v="46317000"/>
    <n v="1.357"/>
    <d v="2023-07-30T00:00:00"/>
    <d v="1899-12-30T17:48:00"/>
  </r>
  <r>
    <x v="15"/>
    <x v="15"/>
    <x v="15"/>
    <n v="43679000"/>
    <n v="5.8869999999999996"/>
    <d v="2023-07-30T00:00:00"/>
    <d v="1899-12-30T17:48:00"/>
  </r>
  <r>
    <x v="16"/>
    <x v="16"/>
    <x v="16"/>
    <n v="39220000"/>
    <n v="834.11699999999996"/>
    <d v="2023-07-30T00:00:00"/>
    <d v="1899-12-30T17:48:00"/>
  </r>
  <r>
    <x v="17"/>
    <x v="17"/>
    <x v="17"/>
    <n v="36591000"/>
    <n v="1.6859999999999999"/>
    <d v="2023-07-30T00:00:00"/>
    <d v="1899-12-30T17:48:00"/>
  </r>
  <r>
    <x v="18"/>
    <x v="18"/>
    <x v="18"/>
    <n v="33297000"/>
    <n v="253.71899999999999"/>
    <d v="2023-07-30T00:00:00"/>
    <d v="1899-12-30T17:48:00"/>
  </r>
  <r>
    <x v="19"/>
    <x v="19"/>
    <x v="19"/>
    <n v="33119000"/>
    <n v="1.155"/>
    <d v="2023-07-30T00:00:00"/>
    <d v="1899-12-30T17:48:00"/>
  </r>
  <r>
    <x v="20"/>
    <x v="20"/>
    <x v="20"/>
    <n v="31957000"/>
    <n v="257.65899999999999"/>
    <d v="2023-07-30T00:00:00"/>
    <d v="1899-12-30T17:48:00"/>
  </r>
  <r>
    <x v="21"/>
    <x v="21"/>
    <x v="21"/>
    <n v="31630000"/>
    <n v="61.776000000000003"/>
    <d v="2023-07-30T00:00:00"/>
    <d v="1899-12-30T17:48:00"/>
  </r>
  <r>
    <x v="22"/>
    <x v="22"/>
    <x v="22"/>
    <n v="30651000"/>
    <n v="143.06200000000001"/>
    <d v="2023-07-30T00:00:00"/>
    <d v="1899-12-30T17:48:00"/>
  </r>
  <r>
    <x v="23"/>
    <x v="23"/>
    <x v="23"/>
    <n v="28485000"/>
    <n v="2.516"/>
    <d v="2023-07-30T00:00:00"/>
    <d v="1899-12-30T17:48:00"/>
  </r>
  <r>
    <x v="24"/>
    <x v="24"/>
    <x v="24"/>
    <n v="27493000"/>
    <n v="212.27"/>
    <d v="2023-07-30T00:00:00"/>
    <d v="1899-12-30T17:48:00"/>
  </r>
  <r>
    <x v="17"/>
    <x v="25"/>
    <x v="25"/>
    <n v="26971000"/>
    <n v="1.6859999999999999"/>
    <d v="2023-07-30T00:00:00"/>
    <d v="1899-12-30T17:48:00"/>
  </r>
  <r>
    <x v="25"/>
    <x v="26"/>
    <x v="26"/>
    <n v="26375000"/>
    <n v="37.084000000000003"/>
    <d v="2023-07-30T00:00:00"/>
    <d v="1899-12-30T17:48:00"/>
  </r>
  <r>
    <x v="26"/>
    <x v="27"/>
    <x v="27"/>
    <n v="26298000"/>
    <n v="6.0460000000000003"/>
    <d v="2023-07-30T00:00:00"/>
    <d v="1899-12-30T17:48:00"/>
  </r>
  <r>
    <x v="27"/>
    <x v="28"/>
    <x v="28"/>
    <n v="26063000"/>
    <n v="18.503"/>
    <d v="2023-07-30T00:00:00"/>
    <d v="1899-12-30T17:48:00"/>
  </r>
  <r>
    <x v="28"/>
    <x v="29"/>
    <x v="29"/>
    <n v="25690000"/>
    <n v="5.1079999999999997"/>
    <d v="2023-07-30T00:00:00"/>
    <d v="1899-12-30T17:48:00"/>
  </r>
  <r>
    <x v="29"/>
    <x v="30"/>
    <x v="30"/>
    <n v="24979000"/>
    <n v="3.14"/>
    <d v="2023-07-30T00:00:00"/>
    <d v="1899-12-30T17:48:00"/>
  </r>
  <r>
    <x v="30"/>
    <x v="31"/>
    <x v="31"/>
    <n v="24813000"/>
    <n v="4.0060000000000002"/>
    <d v="2023-07-30T00:00:00"/>
    <d v="1899-12-30T17:48:00"/>
  </r>
  <r>
    <x v="31"/>
    <x v="32"/>
    <x v="32"/>
    <n v="24508000"/>
    <n v="24.149000000000001"/>
    <d v="2023-07-30T00:00:00"/>
    <d v="1899-12-30T17:48:00"/>
  </r>
  <r>
    <x v="32"/>
    <x v="33"/>
    <x v="33"/>
    <n v="24054000"/>
    <n v="203.626"/>
    <d v="2023-07-30T00:00:00"/>
    <d v="1899-12-30T17:48:00"/>
  </r>
  <r>
    <x v="33"/>
    <x v="34"/>
    <x v="34"/>
    <n v="23759000"/>
    <n v="7.8179999999999996"/>
    <d v="2023-07-30T00:00:00"/>
    <d v="1899-12-30T17:48:00"/>
  </r>
  <r>
    <x v="34"/>
    <x v="35"/>
    <x v="35"/>
    <n v="23104000"/>
    <n v="14.366"/>
    <d v="2023-07-30T00:00:00"/>
    <d v="1899-12-30T17:48:00"/>
  </r>
  <r>
    <x v="35"/>
    <x v="36"/>
    <x v="36"/>
    <n v="21421000"/>
    <n v="2.8380000000000001"/>
    <d v="2023-07-30T00:00:00"/>
    <d v="1899-12-30T17:48:00"/>
  </r>
  <r>
    <x v="36"/>
    <x v="37"/>
    <x v="0"/>
    <n v="20881000"/>
    <n v="91.296999999999997"/>
    <d v="2023-07-30T00:00:00"/>
    <d v="1899-12-30T17:48:00"/>
  </r>
  <r>
    <x v="37"/>
    <x v="38"/>
    <x v="37"/>
    <n v="20809000"/>
    <n v="5.0890000000000004"/>
    <d v="2023-07-30T00:00:00"/>
    <d v="1899-12-30T17:48:00"/>
  </r>
  <r>
    <x v="38"/>
    <x v="39"/>
    <x v="38"/>
    <n v="20669000"/>
    <n v="188.55600000000001"/>
    <d v="2023-07-30T00:00:00"/>
    <d v="1899-12-30T17:48:00"/>
  </r>
  <r>
    <x v="39"/>
    <x v="40"/>
    <x v="31"/>
    <n v="20603000"/>
    <n v="37.088999999999999"/>
    <d v="2023-07-30T00:00:00"/>
    <d v="1899-12-30T17:48:00"/>
  </r>
  <r>
    <x v="40"/>
    <x v="41"/>
    <x v="39"/>
    <n v="20147000"/>
    <n v="2.67"/>
    <d v="2023-07-30T00:00:00"/>
    <d v="1899-12-30T17:48:00"/>
  </r>
  <r>
    <x v="41"/>
    <x v="42"/>
    <x v="40"/>
    <n v="19854000"/>
    <n v="19.768000000000001"/>
    <d v="2023-07-30T00:00:00"/>
    <d v="1899-12-30T17:48:00"/>
  </r>
  <r>
    <x v="42"/>
    <x v="43"/>
    <x v="26"/>
    <n v="19849000"/>
    <n v="8.0730000000000004"/>
    <d v="2023-07-30T00:00:00"/>
    <d v="1899-12-30T17:48:00"/>
  </r>
  <r>
    <x v="43"/>
    <x v="44"/>
    <x v="41"/>
    <n v="18646000"/>
    <n v="7.0919999999999996"/>
    <d v="2023-07-30T00:00:00"/>
    <d v="1899-12-30T17:48:00"/>
  </r>
  <r>
    <x v="44"/>
    <x v="45"/>
    <x v="42"/>
    <n v="18588000"/>
    <n v="10.97"/>
    <d v="2023-07-30T00:00:00"/>
    <d v="1899-12-30T17:48:00"/>
  </r>
  <r>
    <x v="45"/>
    <x v="46"/>
    <x v="43"/>
    <n v="18093000"/>
    <n v="7.91"/>
    <d v="2023-07-30T00:00:00"/>
    <d v="1899-12-30T17:48:00"/>
  </r>
  <r>
    <x v="46"/>
    <x v="47"/>
    <x v="44"/>
    <n v="18078000"/>
    <n v="14.615"/>
    <d v="2023-07-30T00:00:00"/>
    <d v="1899-12-30T17:48:00"/>
  </r>
  <r>
    <x v="47"/>
    <x v="48"/>
    <x v="45"/>
    <n v="17572000"/>
    <n v="421.11700000000002"/>
    <d v="2023-07-30T00:00:00"/>
    <d v="1899-12-30T17:48:00"/>
  </r>
  <r>
    <x v="48"/>
    <x v="49"/>
    <x v="46"/>
    <n v="17483000"/>
    <n v="52.893999999999998"/>
    <d v="2023-07-30T00:00:00"/>
    <d v="1899-12-30T17:48:00"/>
  </r>
  <r>
    <x v="49"/>
    <x v="50"/>
    <x v="47"/>
    <n v="17155000"/>
    <n v="97.427000000000007"/>
    <d v="2023-07-30T00:00:00"/>
    <d v="1899-12-30T17:48:00"/>
  </r>
  <r>
    <x v="50"/>
    <x v="51"/>
    <x v="48"/>
    <n v="16993000"/>
    <n v="63.670999999999999"/>
    <d v="2023-07-30T00:00:00"/>
    <d v="1899-12-30T17:48:00"/>
  </r>
  <r>
    <x v="51"/>
    <x v="52"/>
    <x v="49"/>
    <n v="16692000"/>
    <n v="3.2749999999999999"/>
    <d v="2023-07-30T00:00:00"/>
    <d v="1899-12-30T17:48:00"/>
  </r>
  <r>
    <x v="52"/>
    <x v="53"/>
    <x v="50"/>
    <n v="16564000"/>
    <n v="7.1219999999999999"/>
    <d v="2023-07-30T00:00:00"/>
    <d v="1899-12-30T17:48:00"/>
  </r>
  <r>
    <x v="53"/>
    <x v="54"/>
    <x v="51"/>
    <n v="16138000"/>
    <n v="31.158000000000001"/>
    <d v="2023-07-30T00:00:00"/>
    <d v="1899-12-30T17:48:00"/>
  </r>
  <r>
    <x v="54"/>
    <x v="55"/>
    <x v="52"/>
    <n v="16092000"/>
    <n v="9.8640000000000008"/>
    <d v="2023-07-30T00:00:00"/>
    <d v="1899-12-30T17:48:00"/>
  </r>
  <r>
    <x v="55"/>
    <x v="56"/>
    <x v="53"/>
    <n v="15824000"/>
    <n v="4.5970000000000004"/>
    <d v="2023-07-30T00:00:00"/>
    <d v="1899-12-30T17:48:00"/>
  </r>
  <r>
    <x v="56"/>
    <x v="57"/>
    <x v="54"/>
    <n v="15685000"/>
    <n v="4.7190000000000003"/>
    <d v="2023-07-30T00:00:00"/>
    <d v="1899-12-30T17:48:00"/>
  </r>
  <r>
    <x v="57"/>
    <x v="58"/>
    <x v="55"/>
    <n v="15657000"/>
    <n v="21.15"/>
    <d v="2023-07-30T00:00:00"/>
    <d v="1899-12-30T17:48:00"/>
  </r>
  <r>
    <x v="58"/>
    <x v="59"/>
    <x v="56"/>
    <n v="15079000"/>
    <n v="8.8859999999999992"/>
    <d v="2023-07-30T00:00:00"/>
    <d v="1899-12-30T17:48:00"/>
  </r>
  <r>
    <x v="59"/>
    <x v="60"/>
    <x v="57"/>
    <n v="14862000"/>
    <n v="11.762"/>
    <d v="2023-07-30T00:00:00"/>
    <d v="1899-12-30T17:48:00"/>
  </r>
  <r>
    <x v="60"/>
    <x v="61"/>
    <x v="58"/>
    <n v="14819000"/>
    <n v="3.6040000000000001"/>
    <d v="2023-07-30T00:00:00"/>
    <d v="1899-12-30T17:48:00"/>
  </r>
  <r>
    <x v="61"/>
    <x v="62"/>
    <x v="59"/>
    <n v="14640000"/>
    <n v="47.616"/>
    <d v="2023-07-30T00:00:00"/>
    <d v="1899-12-30T17:48:00"/>
  </r>
  <r>
    <x v="62"/>
    <x v="63"/>
    <x v="60"/>
    <n v="14264000"/>
    <n v="19.126000000000001"/>
    <d v="2023-07-30T00:00:00"/>
    <d v="1899-12-30T17:48:00"/>
  </r>
  <r>
    <x v="63"/>
    <x v="64"/>
    <x v="61"/>
    <n v="14162000"/>
    <n v="4.1539999999999999"/>
    <d v="2023-07-30T00:00:00"/>
    <d v="1899-12-30T17:48:00"/>
  </r>
  <r>
    <x v="64"/>
    <x v="65"/>
    <x v="62"/>
    <n v="14139000"/>
    <n v="453.42599999999999"/>
    <d v="2023-07-30T00:00:00"/>
    <d v="1899-12-30T17:48:00"/>
  </r>
  <r>
    <x v="30"/>
    <x v="66"/>
    <x v="10"/>
    <n v="14021000"/>
    <n v="4.4950000000000001"/>
    <d v="2023-07-30T00:00:00"/>
    <d v="1899-12-30T17:48:00"/>
  </r>
  <r>
    <x v="65"/>
    <x v="67"/>
    <x v="63"/>
    <n v="13638000"/>
    <n v="157.38499999999999"/>
    <d v="2023-07-30T00:00:00"/>
    <d v="1899-12-30T17:48:00"/>
  </r>
  <r>
    <x v="66"/>
    <x v="68"/>
    <x v="64"/>
    <n v="13535000"/>
    <n v="58.8"/>
    <d v="2023-07-30T00:00:00"/>
    <d v="1899-12-30T17:48:00"/>
  </r>
  <r>
    <x v="67"/>
    <x v="69"/>
    <x v="65"/>
    <n v="13517000"/>
    <n v="42.280999999999999"/>
    <d v="2023-07-30T00:00:00"/>
    <d v="1899-12-30T17:48:00"/>
  </r>
  <r>
    <x v="68"/>
    <x v="70"/>
    <x v="66"/>
    <n v="13369000"/>
    <n v="22.59"/>
    <d v="2023-07-30T00:00:00"/>
    <d v="1899-12-30T17:48:00"/>
  </r>
  <r>
    <x v="69"/>
    <x v="71"/>
    <x v="59"/>
    <n v="13218000"/>
    <n v="46.722999999999999"/>
    <d v="2023-07-30T00:00:00"/>
    <d v="1899-12-30T17:48:00"/>
  </r>
  <r>
    <x v="70"/>
    <x v="72"/>
    <x v="67"/>
    <n v="13045000"/>
    <n v="32.036999999999999"/>
    <d v="2023-07-30T00:00:00"/>
    <d v="1899-12-30T17:48:00"/>
  </r>
  <r>
    <x v="71"/>
    <x v="73"/>
    <x v="49"/>
    <n v="12656000"/>
    <n v="13.409000000000001"/>
    <d v="2023-07-30T00:00:00"/>
    <d v="1899-12-30T17:48:00"/>
  </r>
  <r>
    <x v="72"/>
    <x v="74"/>
    <x v="68"/>
    <n v="12618000"/>
    <n v="169.226"/>
    <d v="2023-07-30T00:00:00"/>
    <d v="1899-12-30T17:48:00"/>
  </r>
  <r>
    <x v="73"/>
    <x v="75"/>
    <x v="69"/>
    <n v="12572000"/>
    <n v="21.263999999999999"/>
    <d v="2023-07-30T00:00:00"/>
    <d v="1899-12-30T17:48:00"/>
  </r>
  <r>
    <x v="74"/>
    <x v="76"/>
    <x v="70"/>
    <n v="12517000"/>
    <n v="20.053999999999998"/>
    <d v="2023-07-30T00:00:00"/>
    <d v="1899-12-30T17:48:00"/>
  </r>
  <r>
    <x v="75"/>
    <x v="77"/>
    <x v="71"/>
    <n v="12341000"/>
    <n v="6.2779999999999996"/>
    <d v="2023-07-30T00:00:00"/>
    <d v="1899-12-30T17:48:00"/>
  </r>
  <r>
    <x v="76"/>
    <x v="78"/>
    <x v="72"/>
    <n v="12186000"/>
    <n v="2.2069999999999999"/>
    <d v="2023-07-30T00:00:00"/>
    <d v="1899-12-30T17:48:00"/>
  </r>
  <r>
    <x v="77"/>
    <x v="79"/>
    <x v="73"/>
    <n v="12088000"/>
    <n v="21.824000000000002"/>
    <d v="2023-07-30T00:00:00"/>
    <d v="1899-12-30T17:48:00"/>
  </r>
  <r>
    <x v="78"/>
    <x v="80"/>
    <x v="74"/>
    <n v="12031000"/>
    <n v="41.426000000000002"/>
    <d v="2023-07-30T00:00:00"/>
    <d v="1899-12-30T17:48:00"/>
  </r>
  <r>
    <x v="79"/>
    <x v="81"/>
    <x v="63"/>
    <n v="12014000"/>
    <n v="67.813999999999993"/>
    <d v="2023-07-30T00:00:00"/>
    <d v="1899-12-30T17:48:00"/>
  </r>
  <r>
    <x v="80"/>
    <x v="82"/>
    <x v="75"/>
    <n v="11982000"/>
    <n v="5.1059999999999999"/>
    <d v="2023-07-30T00:00:00"/>
    <d v="1899-12-30T17:48:00"/>
  </r>
  <r>
    <x v="81"/>
    <x v="83"/>
    <x v="76"/>
    <n v="11946000"/>
    <n v="2.0209999999999999"/>
    <d v="2023-07-30T00:00:00"/>
    <d v="1899-12-30T17:48:00"/>
  </r>
  <r>
    <x v="82"/>
    <x v="84"/>
    <x v="77"/>
    <n v="11936000"/>
    <n v="77.984999999999999"/>
    <d v="2023-07-30T00:00:00"/>
    <d v="1899-12-30T17:48:00"/>
  </r>
  <r>
    <x v="83"/>
    <x v="85"/>
    <x v="78"/>
    <n v="11790000"/>
    <n v="5.3879999999999999"/>
    <d v="2023-07-30T00:00:00"/>
    <d v="1899-12-30T17:48:00"/>
  </r>
  <r>
    <x v="84"/>
    <x v="86"/>
    <x v="79"/>
    <n v="11765000"/>
    <n v="144.24100000000001"/>
    <d v="2023-07-30T00:00:00"/>
    <d v="1899-12-30T17:48:00"/>
  </r>
  <r>
    <x v="85"/>
    <x v="87"/>
    <x v="80"/>
    <n v="11685000"/>
    <n v="118.71"/>
    <d v="2023-07-30T00:00:00"/>
    <d v="1899-12-30T17:48:00"/>
  </r>
  <r>
    <x v="86"/>
    <x v="88"/>
    <x v="81"/>
    <n v="11622000"/>
    <n v="127.616"/>
    <d v="2023-07-30T00:00:00"/>
    <d v="1899-12-30T17:48:00"/>
  </r>
  <r>
    <x v="87"/>
    <x v="89"/>
    <x v="70"/>
    <n v="11595000"/>
    <n v="129.01300000000001"/>
    <d v="2023-07-30T00:00:00"/>
    <d v="1899-12-30T17:48:00"/>
  </r>
  <r>
    <x v="88"/>
    <x v="90"/>
    <x v="82"/>
    <n v="11513000"/>
    <n v="60.612000000000002"/>
    <d v="2023-07-30T00:00:00"/>
    <d v="1899-12-30T17:48:00"/>
  </r>
  <r>
    <x v="89"/>
    <x v="91"/>
    <x v="83"/>
    <n v="11457000"/>
    <n v="43.969000000000001"/>
    <d v="2023-07-30T00:00:00"/>
    <d v="1899-12-30T17:48:00"/>
  </r>
  <r>
    <x v="90"/>
    <x v="92"/>
    <x v="84"/>
    <n v="11362000"/>
    <n v="22.263000000000002"/>
    <d v="2023-07-30T00:00:00"/>
    <d v="1899-12-30T17:48:00"/>
  </r>
  <r>
    <x v="91"/>
    <x v="93"/>
    <x v="85"/>
    <n v="11325000"/>
    <n v="25.725000000000001"/>
    <d v="2023-07-30T00:00:00"/>
    <d v="1899-12-30T17:48:00"/>
  </r>
  <r>
    <x v="92"/>
    <x v="94"/>
    <x v="37"/>
    <n v="11243000"/>
    <n v="29.808"/>
    <d v="2023-07-30T00:00:00"/>
    <d v="1899-12-30T17:48:00"/>
  </r>
  <r>
    <x v="93"/>
    <x v="95"/>
    <x v="50"/>
    <n v="11235000"/>
    <n v="9.1370000000000005"/>
    <d v="2023-07-30T00:00:00"/>
    <d v="1899-12-30T17:48:00"/>
  </r>
  <r>
    <x v="94"/>
    <x v="96"/>
    <x v="42"/>
    <n v="11179000"/>
    <n v="4.4749999999999996"/>
    <d v="2023-07-30T00:00:00"/>
    <d v="1899-12-30T17:48:00"/>
  </r>
  <r>
    <x v="95"/>
    <x v="97"/>
    <x v="40"/>
    <n v="11061000"/>
    <n v="2.9079999999999999"/>
    <d v="2023-07-30T00:00:00"/>
    <d v="1899-12-30T17:48:00"/>
  </r>
  <r>
    <x v="96"/>
    <x v="98"/>
    <x v="86"/>
    <n v="11030000"/>
    <n v="5.5869999999999997"/>
    <d v="2023-07-30T00:00:00"/>
    <d v="1899-12-30T17:48:00"/>
  </r>
  <r>
    <x v="97"/>
    <x v="99"/>
    <x v="87"/>
    <n v="10988000"/>
    <n v="34.206000000000003"/>
    <d v="2023-07-30T00:00:00"/>
    <d v="1899-12-30T17:48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BD5A89-C657-43EA-AC92-697E1F77058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C103" firstHeaderRow="0" firstDataRow="1" firstDataCol="1"/>
  <pivotFields count="8">
    <pivotField axis="axisRow" showAll="0">
      <items count="99">
        <item x="9"/>
        <item x="80"/>
        <item x="20"/>
        <item x="17"/>
        <item x="14"/>
        <item x="30"/>
        <item x="44"/>
        <item x="13"/>
        <item x="10"/>
        <item x="34"/>
        <item x="25"/>
        <item x="18"/>
        <item x="92"/>
        <item x="45"/>
        <item x="87"/>
        <item x="55"/>
        <item x="31"/>
        <item x="33"/>
        <item x="95"/>
        <item x="24"/>
        <item x="36"/>
        <item x="62"/>
        <item x="38"/>
        <item x="70"/>
        <item x="79"/>
        <item x="27"/>
        <item x="63"/>
        <item x="57"/>
        <item x="94"/>
        <item x="47"/>
        <item x="76"/>
        <item x="90"/>
        <item x="81"/>
        <item x="0"/>
        <item x="48"/>
        <item x="37"/>
        <item x="46"/>
        <item x="4"/>
        <item x="60"/>
        <item x="26"/>
        <item x="66"/>
        <item x="50"/>
        <item x="64"/>
        <item x="58"/>
        <item x="68"/>
        <item x="69"/>
        <item x="61"/>
        <item x="59"/>
        <item x="67"/>
        <item x="73"/>
        <item x="5"/>
        <item x="42"/>
        <item x="56"/>
        <item x="35"/>
        <item x="16"/>
        <item x="82"/>
        <item x="23"/>
        <item x="54"/>
        <item x="1"/>
        <item x="77"/>
        <item x="93"/>
        <item x="39"/>
        <item x="19"/>
        <item x="29"/>
        <item x="3"/>
        <item x="85"/>
        <item x="32"/>
        <item x="78"/>
        <item x="52"/>
        <item x="84"/>
        <item x="15"/>
        <item x="75"/>
        <item x="51"/>
        <item x="12"/>
        <item x="40"/>
        <item x="6"/>
        <item x="86"/>
        <item x="41"/>
        <item x="11"/>
        <item x="8"/>
        <item x="74"/>
        <item x="43"/>
        <item x="28"/>
        <item x="97"/>
        <item x="71"/>
        <item x="2"/>
        <item x="65"/>
        <item x="89"/>
        <item x="88"/>
        <item x="49"/>
        <item x="96"/>
        <item x="83"/>
        <item x="21"/>
        <item x="22"/>
        <item x="91"/>
        <item x="53"/>
        <item x="72"/>
        <item x="7"/>
        <item t="default"/>
      </items>
    </pivotField>
    <pivotField showAll="0">
      <items count="101">
        <item x="41"/>
        <item x="66"/>
        <item x="43"/>
        <item x="38"/>
        <item x="26"/>
        <item x="47"/>
        <item x="28"/>
        <item x="79"/>
        <item x="31"/>
        <item x="30"/>
        <item x="42"/>
        <item x="78"/>
        <item x="83"/>
        <item x="68"/>
        <item x="27"/>
        <item x="44"/>
        <item x="73"/>
        <item x="5"/>
        <item x="64"/>
        <item x="40"/>
        <item x="29"/>
        <item x="97"/>
        <item x="8"/>
        <item x="96"/>
        <item x="11"/>
        <item x="53"/>
        <item x="57"/>
        <item x="60"/>
        <item x="54"/>
        <item x="0"/>
        <item x="15"/>
        <item x="55"/>
        <item x="21"/>
        <item x="63"/>
        <item x="10"/>
        <item x="1"/>
        <item x="36"/>
        <item x="45"/>
        <item x="94"/>
        <item x="82"/>
        <item x="80"/>
        <item x="3"/>
        <item x="61"/>
        <item x="70"/>
        <item x="72"/>
        <item x="52"/>
        <item x="32"/>
        <item x="46"/>
        <item x="35"/>
        <item x="95"/>
        <item x="7"/>
        <item x="71"/>
        <item x="98"/>
        <item x="12"/>
        <item x="59"/>
        <item x="93"/>
        <item x="18"/>
        <item x="91"/>
        <item x="76"/>
        <item x="81"/>
        <item x="62"/>
        <item x="22"/>
        <item x="99"/>
        <item x="33"/>
        <item x="4"/>
        <item x="49"/>
        <item x="90"/>
        <item x="56"/>
        <item x="51"/>
        <item x="69"/>
        <item x="34"/>
        <item x="39"/>
        <item x="74"/>
        <item x="37"/>
        <item x="50"/>
        <item x="24"/>
        <item x="89"/>
        <item x="85"/>
        <item x="84"/>
        <item x="67"/>
        <item x="88"/>
        <item x="75"/>
        <item x="87"/>
        <item x="6"/>
        <item x="20"/>
        <item x="48"/>
        <item x="9"/>
        <item x="86"/>
        <item x="14"/>
        <item x="17"/>
        <item x="25"/>
        <item x="58"/>
        <item x="77"/>
        <item x="65"/>
        <item x="13"/>
        <item x="92"/>
        <item x="2"/>
        <item x="16"/>
        <item x="23"/>
        <item x="19"/>
        <item t="default"/>
      </items>
    </pivotField>
    <pivotField showAll="0">
      <items count="89">
        <item x="55"/>
        <item x="69"/>
        <item x="56"/>
        <item x="87"/>
        <item x="35"/>
        <item x="45"/>
        <item x="60"/>
        <item x="46"/>
        <item x="24"/>
        <item x="85"/>
        <item x="21"/>
        <item x="0"/>
        <item x="86"/>
        <item x="33"/>
        <item x="38"/>
        <item x="10"/>
        <item x="18"/>
        <item x="73"/>
        <item x="26"/>
        <item x="74"/>
        <item x="64"/>
        <item x="31"/>
        <item x="77"/>
        <item x="44"/>
        <item x="59"/>
        <item x="39"/>
        <item x="41"/>
        <item x="37"/>
        <item x="50"/>
        <item x="42"/>
        <item x="76"/>
        <item x="32"/>
        <item x="40"/>
        <item x="57"/>
        <item x="72"/>
        <item x="11"/>
        <item x="68"/>
        <item x="28"/>
        <item x="8"/>
        <item x="22"/>
        <item x="51"/>
        <item x="54"/>
        <item x="5"/>
        <item x="30"/>
        <item x="66"/>
        <item x="52"/>
        <item x="70"/>
        <item x="82"/>
        <item x="36"/>
        <item x="27"/>
        <item x="63"/>
        <item x="49"/>
        <item x="62"/>
        <item x="61"/>
        <item x="75"/>
        <item x="12"/>
        <item x="83"/>
        <item x="67"/>
        <item x="1"/>
        <item x="47"/>
        <item x="53"/>
        <item x="29"/>
        <item x="3"/>
        <item x="9"/>
        <item x="81"/>
        <item x="4"/>
        <item x="58"/>
        <item x="43"/>
        <item x="48"/>
        <item x="15"/>
        <item x="13"/>
        <item x="25"/>
        <item x="7"/>
        <item x="17"/>
        <item x="34"/>
        <item x="79"/>
        <item x="65"/>
        <item x="14"/>
        <item x="80"/>
        <item x="20"/>
        <item x="78"/>
        <item x="23"/>
        <item x="19"/>
        <item x="84"/>
        <item x="2"/>
        <item x="16"/>
        <item x="6"/>
        <item x="71"/>
        <item t="default"/>
      </items>
    </pivotField>
    <pivotField dataField="1" showAll="0"/>
    <pivotField dataField="1" showAll="0"/>
    <pivotField numFmtId="14" showAll="0"/>
    <pivotField numFmtId="164" showAll="0"/>
    <pivotField dragToRow="0" dragToCol="0" dragToPage="0" showAll="0" defaultSubtotal="0"/>
  </pivotFields>
  <rowFields count="1">
    <field x="0"/>
  </rowFields>
  <rowItems count="9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-2"/>
  </colFields>
  <colItems count="2">
    <i>
      <x/>
    </i>
    <i i="1">
      <x v="1"/>
    </i>
  </colItems>
  <dataFields count="2">
    <dataField name="% of Total Col Volume" fld="3" showDataAs="percentOfCol" baseField="0" baseItem="0" numFmtId="10"/>
    <dataField name="% of Total Col Cap" fld="4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60BC1FD-E72E-4A67-B41D-482F94881DF4}" autoFormatId="16" applyNumberFormats="0" applyBorderFormats="0" applyFontFormats="0" applyPatternFormats="0" applyAlignmentFormats="0" applyWidthHeightFormats="0">
  <queryTableRefresh nextId="9">
    <queryTableFields count="7">
      <queryTableField id="1" name="Name" tableColumnId="1"/>
      <queryTableField id="2" name="Price" tableColumnId="2"/>
      <queryTableField id="3" name="Change" tableColumnId="3"/>
      <queryTableField id="4" name="Volume" tableColumnId="4"/>
      <queryTableField id="5" name="Market Cap" tableColumnId="5"/>
      <queryTableField id="6" name="Date" tableColumnId="6"/>
      <queryTableField id="7" name="Ti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B16F3E-2ECF-4691-A8C7-8D34BD5FCAAE}" name="Stock_Market" displayName="Stock_Market" ref="A1:G101" tableType="queryTable" totalsRowShown="0">
  <autoFilter ref="A1:G101" xr:uid="{C6B16F3E-2ECF-4691-A8C7-8D34BD5FCAAE}"/>
  <tableColumns count="7">
    <tableColumn id="1" xr3:uid="{12C4220C-B3FC-4A7A-A1C8-3FA522E37699}" uniqueName="1" name="Name" queryTableFieldId="1" dataDxfId="3"/>
    <tableColumn id="2" xr3:uid="{C0229606-2908-4D40-9296-6EE518E45D11}" uniqueName="2" name="Price" queryTableFieldId="2"/>
    <tableColumn id="3" xr3:uid="{B97EF84D-36D1-4B36-AA39-74173ECBC219}" uniqueName="3" name="Change" queryTableFieldId="3"/>
    <tableColumn id="4" xr3:uid="{0E2BD9E2-C459-48B1-9ECD-1D5862147417}" uniqueName="4" name="Volume" queryTableFieldId="4" dataDxfId="2"/>
    <tableColumn id="5" xr3:uid="{06E7AC5E-53D7-4520-8CF6-BE76943AF31B}" uniqueName="5" name="Market Cap" queryTableFieldId="5"/>
    <tableColumn id="6" xr3:uid="{941C4975-A39B-4620-87DC-D4D9FE3B6FEB}" uniqueName="6" name="Date" queryTableFieldId="6" dataDxfId="1"/>
    <tableColumn id="7" xr3:uid="{133F92A5-D1BC-45AA-9977-3AF764B004F8}" uniqueName="7" name="Time" queryTableFieldId="7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780F3-3889-4E21-A4CC-9C5494E7CDA6}">
  <sheetPr codeName="Sheet1"/>
  <dimension ref="A3:F16"/>
  <sheetViews>
    <sheetView tabSelected="1" workbookViewId="0">
      <selection activeCell="E19" sqref="E19"/>
    </sheetView>
  </sheetViews>
  <sheetFormatPr defaultRowHeight="14.5" x14ac:dyDescent="0.35"/>
  <cols>
    <col min="6" max="6" width="23.26953125" bestFit="1" customWidth="1"/>
  </cols>
  <sheetData>
    <row r="3" spans="1:6" x14ac:dyDescent="0.35">
      <c r="A3" t="s">
        <v>107</v>
      </c>
    </row>
    <row r="8" spans="1:6" x14ac:dyDescent="0.35">
      <c r="A8" t="s">
        <v>108</v>
      </c>
    </row>
    <row r="14" spans="1:6" x14ac:dyDescent="0.35">
      <c r="A14" t="s">
        <v>112</v>
      </c>
      <c r="F14" t="str">
        <f>"Active Stocks_"&amp;"as_"&amp;"of_"&amp;TEXT('Power Query'!F2,"YYYY-MM-DD")</f>
        <v>Active Stocks_as_of_2023-07-30</v>
      </c>
    </row>
    <row r="15" spans="1:6" x14ac:dyDescent="0.35">
      <c r="F15" s="6"/>
    </row>
    <row r="16" spans="1:6" x14ac:dyDescent="0.35">
      <c r="F16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">
                <anchor moveWithCells="1" sizeWithCells="1">
                  <from>
                    <xdr:col>1</xdr:col>
                    <xdr:colOff>38100</xdr:colOff>
                    <xdr:row>2</xdr:row>
                    <xdr:rowOff>44450</xdr:rowOff>
                  </from>
                  <to>
                    <xdr:col>3</xdr:col>
                    <xdr:colOff>558800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PFilterCP">
                <anchor moveWithCells="1" sizeWithCells="1">
                  <from>
                    <xdr:col>1</xdr:col>
                    <xdr:colOff>19050</xdr:colOff>
                    <xdr:row>7</xdr:row>
                    <xdr:rowOff>50800</xdr:rowOff>
                  </from>
                  <to>
                    <xdr:col>3</xdr:col>
                    <xdr:colOff>546100</xdr:colOff>
                    <xdr:row>10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repSaveas">
                <anchor moveWithCells="1" sizeWithCells="1">
                  <from>
                    <xdr:col>1</xdr:col>
                    <xdr:colOff>19050</xdr:colOff>
                    <xdr:row>13</xdr:row>
                    <xdr:rowOff>57150</xdr:rowOff>
                  </from>
                  <to>
                    <xdr:col>3</xdr:col>
                    <xdr:colOff>596900</xdr:colOff>
                    <xdr:row>16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F43D7-D9E3-4E24-8F24-7913E27C33B8}">
  <sheetPr codeName="Sheet2"/>
  <dimension ref="A1:G101"/>
  <sheetViews>
    <sheetView workbookViewId="0">
      <selection activeCell="E4" sqref="E4"/>
    </sheetView>
  </sheetViews>
  <sheetFormatPr defaultRowHeight="14.5" x14ac:dyDescent="0.35"/>
  <cols>
    <col min="1" max="1" width="31.453125" bestFit="1" customWidth="1"/>
    <col min="2" max="2" width="7.1796875" bestFit="1" customWidth="1"/>
    <col min="3" max="3" width="9.26953125" bestFit="1" customWidth="1"/>
    <col min="4" max="4" width="9.81640625" bestFit="1" customWidth="1"/>
    <col min="5" max="5" width="12.90625" bestFit="1" customWidth="1"/>
    <col min="6" max="6" width="9.453125" bestFit="1" customWidth="1"/>
    <col min="7" max="7" width="10.08984375" bestFit="1" customWidth="1"/>
    <col min="8" max="8" width="9.54296875" bestFit="1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5">
      <c r="A2" t="s">
        <v>9</v>
      </c>
      <c r="B2">
        <v>13.26</v>
      </c>
      <c r="C2">
        <v>-0.47</v>
      </c>
      <c r="D2">
        <v>116697000</v>
      </c>
      <c r="E2">
        <v>53.05</v>
      </c>
      <c r="F2" s="1">
        <v>45137</v>
      </c>
      <c r="G2" s="2">
        <v>0.7416666666666667</v>
      </c>
    </row>
    <row r="3" spans="1:7" x14ac:dyDescent="0.35">
      <c r="A3" t="s">
        <v>12</v>
      </c>
      <c r="B3">
        <v>14.74</v>
      </c>
      <c r="C3">
        <v>1.5</v>
      </c>
      <c r="D3">
        <v>115316000</v>
      </c>
      <c r="E3">
        <v>26.216999999999999</v>
      </c>
      <c r="F3" s="1">
        <v>45137</v>
      </c>
      <c r="G3" s="2">
        <v>0.7416666666666667</v>
      </c>
    </row>
    <row r="4" spans="1:7" x14ac:dyDescent="0.35">
      <c r="A4" t="s">
        <v>7</v>
      </c>
      <c r="B4">
        <v>266.44</v>
      </c>
      <c r="C4">
        <v>10.73</v>
      </c>
      <c r="D4">
        <v>111446000</v>
      </c>
      <c r="E4">
        <v>844.48199999999997</v>
      </c>
      <c r="F4" s="1">
        <v>45137</v>
      </c>
      <c r="G4" s="2">
        <v>0.7416666666666667</v>
      </c>
    </row>
    <row r="5" spans="1:7" x14ac:dyDescent="0.35">
      <c r="A5" t="s">
        <v>11</v>
      </c>
      <c r="B5">
        <v>17.809999999999999</v>
      </c>
      <c r="C5">
        <v>1.66</v>
      </c>
      <c r="D5">
        <v>106126000</v>
      </c>
      <c r="E5">
        <v>37.728999999999999</v>
      </c>
      <c r="F5" s="1">
        <v>45137</v>
      </c>
      <c r="G5" s="2">
        <v>0.7416666666666667</v>
      </c>
    </row>
    <row r="6" spans="1:7" x14ac:dyDescent="0.35">
      <c r="A6" t="s">
        <v>18</v>
      </c>
      <c r="B6">
        <v>36.83</v>
      </c>
      <c r="C6">
        <v>2.2799999999999998</v>
      </c>
      <c r="D6">
        <v>90863000</v>
      </c>
      <c r="E6">
        <v>154.19900000000001</v>
      </c>
      <c r="F6" s="1">
        <v>45137</v>
      </c>
      <c r="G6" s="2">
        <v>0.7416666666666667</v>
      </c>
    </row>
    <row r="7" spans="1:7" x14ac:dyDescent="0.35">
      <c r="A7" t="s">
        <v>16</v>
      </c>
      <c r="B7">
        <v>7.47</v>
      </c>
      <c r="C7">
        <v>0.57999999999999996</v>
      </c>
      <c r="D7">
        <v>68241000</v>
      </c>
      <c r="E7">
        <v>16.983000000000001</v>
      </c>
      <c r="F7" s="1">
        <v>45137</v>
      </c>
      <c r="G7" s="2">
        <v>0.7416666666666667</v>
      </c>
    </row>
    <row r="8" spans="1:7" x14ac:dyDescent="0.35">
      <c r="A8" t="s">
        <v>72</v>
      </c>
      <c r="B8">
        <v>89.61</v>
      </c>
      <c r="C8">
        <v>21.42</v>
      </c>
      <c r="D8">
        <v>61302000</v>
      </c>
      <c r="E8">
        <v>12.616</v>
      </c>
      <c r="F8" s="1">
        <v>45137</v>
      </c>
      <c r="G8" s="2">
        <v>0.7416666666666667</v>
      </c>
    </row>
    <row r="9" spans="1:7" x14ac:dyDescent="0.35">
      <c r="A9" t="s">
        <v>44</v>
      </c>
      <c r="B9">
        <v>23.39</v>
      </c>
      <c r="C9">
        <v>3.17</v>
      </c>
      <c r="D9">
        <v>59550000</v>
      </c>
      <c r="E9">
        <v>21.934000000000001</v>
      </c>
      <c r="F9" s="1">
        <v>45137</v>
      </c>
      <c r="G9" s="2">
        <v>0.7416666666666667</v>
      </c>
    </row>
    <row r="10" spans="1:7" x14ac:dyDescent="0.35">
      <c r="A10" t="s">
        <v>20</v>
      </c>
      <c r="B10">
        <v>9.5500000000000007</v>
      </c>
      <c r="C10">
        <v>0.46</v>
      </c>
      <c r="D10">
        <v>58205000</v>
      </c>
      <c r="E10">
        <v>8.9860000000000007</v>
      </c>
      <c r="F10" s="1">
        <v>45137</v>
      </c>
      <c r="G10" s="2">
        <v>0.7416666666666667</v>
      </c>
    </row>
    <row r="11" spans="1:7" x14ac:dyDescent="0.35">
      <c r="A11" t="s">
        <v>17</v>
      </c>
      <c r="B11">
        <v>112.96</v>
      </c>
      <c r="C11">
        <v>1.86</v>
      </c>
      <c r="D11">
        <v>55526000</v>
      </c>
      <c r="E11">
        <v>181.90600000000001</v>
      </c>
      <c r="F11" s="1">
        <v>45137</v>
      </c>
      <c r="G11" s="2">
        <v>0.7416666666666667</v>
      </c>
    </row>
    <row r="12" spans="1:7" x14ac:dyDescent="0.35">
      <c r="A12" t="s">
        <v>25</v>
      </c>
      <c r="B12">
        <v>14.45</v>
      </c>
      <c r="C12">
        <v>-0.06</v>
      </c>
      <c r="D12">
        <v>51421000</v>
      </c>
      <c r="E12">
        <v>103.303</v>
      </c>
      <c r="F12" s="1">
        <v>45137</v>
      </c>
      <c r="G12" s="2">
        <v>0.7416666666666667</v>
      </c>
    </row>
    <row r="13" spans="1:7" x14ac:dyDescent="0.35">
      <c r="A13" t="s">
        <v>37</v>
      </c>
      <c r="B13">
        <v>10.68</v>
      </c>
      <c r="C13">
        <v>0.35</v>
      </c>
      <c r="D13">
        <v>49135000</v>
      </c>
      <c r="E13">
        <v>17.106999999999999</v>
      </c>
      <c r="F13" s="1">
        <v>45137</v>
      </c>
      <c r="G13" s="2">
        <v>0.7416666666666667</v>
      </c>
    </row>
    <row r="14" spans="1:7" x14ac:dyDescent="0.35">
      <c r="A14" t="s">
        <v>8</v>
      </c>
      <c r="B14">
        <v>26.94</v>
      </c>
      <c r="C14">
        <v>0.89</v>
      </c>
      <c r="D14">
        <v>48754000</v>
      </c>
      <c r="E14">
        <v>25.306000000000001</v>
      </c>
      <c r="F14" s="1">
        <v>45137</v>
      </c>
      <c r="G14" s="2">
        <v>0.7416666666666667</v>
      </c>
    </row>
    <row r="15" spans="1:7" x14ac:dyDescent="0.35">
      <c r="A15" t="s">
        <v>19</v>
      </c>
      <c r="B15">
        <v>195.83</v>
      </c>
      <c r="C15">
        <v>2.61</v>
      </c>
      <c r="D15">
        <v>48291000</v>
      </c>
      <c r="E15">
        <v>3.08</v>
      </c>
      <c r="F15" s="1">
        <v>45137</v>
      </c>
      <c r="G15" s="2">
        <v>0.7416666666666667</v>
      </c>
    </row>
    <row r="16" spans="1:7" x14ac:dyDescent="0.35">
      <c r="A16" t="s">
        <v>22</v>
      </c>
      <c r="B16">
        <v>132.21</v>
      </c>
      <c r="C16">
        <v>3.96</v>
      </c>
      <c r="D16">
        <v>46317000</v>
      </c>
      <c r="E16">
        <v>1.357</v>
      </c>
      <c r="F16" s="1">
        <v>45137</v>
      </c>
      <c r="G16" s="2">
        <v>0.7416666666666667</v>
      </c>
    </row>
    <row r="17" spans="1:7" x14ac:dyDescent="0.35">
      <c r="A17" t="s">
        <v>73</v>
      </c>
      <c r="B17">
        <v>13.27</v>
      </c>
      <c r="C17">
        <v>2.56</v>
      </c>
      <c r="D17">
        <v>43679000</v>
      </c>
      <c r="E17">
        <v>5.8869999999999996</v>
      </c>
      <c r="F17" s="1">
        <v>45137</v>
      </c>
      <c r="G17" s="2">
        <v>0.7416666666666667</v>
      </c>
    </row>
    <row r="18" spans="1:7" x14ac:dyDescent="0.35">
      <c r="A18" t="s">
        <v>15</v>
      </c>
      <c r="B18">
        <v>325.48</v>
      </c>
      <c r="C18">
        <v>13.77</v>
      </c>
      <c r="D18">
        <v>39220000</v>
      </c>
      <c r="E18">
        <v>834.11699999999996</v>
      </c>
      <c r="F18" s="1">
        <v>45137</v>
      </c>
      <c r="G18" s="2">
        <v>0.7416666666666667</v>
      </c>
    </row>
    <row r="19" spans="1:7" x14ac:dyDescent="0.35">
      <c r="A19" t="s">
        <v>39</v>
      </c>
      <c r="B19">
        <v>132.58000000000001</v>
      </c>
      <c r="C19">
        <v>3.18</v>
      </c>
      <c r="D19">
        <v>36591000</v>
      </c>
      <c r="E19">
        <v>1.6859999999999999</v>
      </c>
      <c r="F19" s="1">
        <v>45137</v>
      </c>
      <c r="G19" s="2">
        <v>0.7416666666666667</v>
      </c>
    </row>
    <row r="20" spans="1:7" x14ac:dyDescent="0.35">
      <c r="A20" t="s">
        <v>13</v>
      </c>
      <c r="B20">
        <v>31.9</v>
      </c>
      <c r="C20">
        <v>-0.05</v>
      </c>
      <c r="D20">
        <v>33297000</v>
      </c>
      <c r="E20">
        <v>253.71899999999999</v>
      </c>
      <c r="F20" s="1">
        <v>45137</v>
      </c>
      <c r="G20" s="2">
        <v>0.7416666666666667</v>
      </c>
    </row>
    <row r="21" spans="1:7" x14ac:dyDescent="0.35">
      <c r="A21" t="s">
        <v>26</v>
      </c>
      <c r="B21">
        <v>467.5</v>
      </c>
      <c r="C21">
        <v>8.5</v>
      </c>
      <c r="D21">
        <v>33119000</v>
      </c>
      <c r="E21">
        <v>1.155</v>
      </c>
      <c r="F21" s="1">
        <v>45137</v>
      </c>
      <c r="G21" s="2">
        <v>0.7416666666666667</v>
      </c>
    </row>
    <row r="22" spans="1:7" x14ac:dyDescent="0.35">
      <c r="A22" t="s">
        <v>57</v>
      </c>
      <c r="B22">
        <v>100.55</v>
      </c>
      <c r="C22">
        <v>5.1100000000000003</v>
      </c>
      <c r="D22">
        <v>31957000</v>
      </c>
      <c r="E22">
        <v>257.65899999999999</v>
      </c>
      <c r="F22" s="1">
        <v>45137</v>
      </c>
      <c r="G22" s="2">
        <v>0.7416666666666667</v>
      </c>
    </row>
    <row r="23" spans="1:7" x14ac:dyDescent="0.35">
      <c r="A23" t="s">
        <v>33</v>
      </c>
      <c r="B23">
        <v>14.24</v>
      </c>
      <c r="C23">
        <v>-0.55000000000000004</v>
      </c>
      <c r="D23">
        <v>31630000</v>
      </c>
      <c r="E23">
        <v>61.776000000000003</v>
      </c>
      <c r="F23" s="1">
        <v>45137</v>
      </c>
      <c r="G23" s="2">
        <v>0.7416666666666667</v>
      </c>
    </row>
    <row r="24" spans="1:7" x14ac:dyDescent="0.35">
      <c r="A24" t="s">
        <v>40</v>
      </c>
      <c r="B24">
        <v>34.03</v>
      </c>
      <c r="C24">
        <v>0.48</v>
      </c>
      <c r="D24">
        <v>30651000</v>
      </c>
      <c r="E24">
        <v>143.06200000000001</v>
      </c>
      <c r="F24" s="1">
        <v>45137</v>
      </c>
      <c r="G24" s="2">
        <v>0.7416666666666667</v>
      </c>
    </row>
    <row r="25" spans="1:7" x14ac:dyDescent="0.35">
      <c r="A25" t="s">
        <v>28</v>
      </c>
      <c r="B25">
        <v>338.37</v>
      </c>
      <c r="C25">
        <v>7.65</v>
      </c>
      <c r="D25">
        <v>28485000</v>
      </c>
      <c r="E25">
        <v>2.516</v>
      </c>
      <c r="F25" s="1">
        <v>45137</v>
      </c>
      <c r="G25" s="2">
        <v>0.7416666666666667</v>
      </c>
    </row>
    <row r="26" spans="1:7" x14ac:dyDescent="0.35">
      <c r="A26" t="s">
        <v>68</v>
      </c>
      <c r="B26">
        <v>52.09</v>
      </c>
      <c r="C26">
        <v>-0.91</v>
      </c>
      <c r="D26">
        <v>27493000</v>
      </c>
      <c r="E26">
        <v>212.27</v>
      </c>
      <c r="F26" s="1">
        <v>45137</v>
      </c>
      <c r="G26" s="2">
        <v>0.7416666666666667</v>
      </c>
    </row>
    <row r="27" spans="1:7" x14ac:dyDescent="0.35">
      <c r="A27" t="s">
        <v>39</v>
      </c>
      <c r="B27">
        <v>133.01</v>
      </c>
      <c r="C27">
        <v>3.14</v>
      </c>
      <c r="D27">
        <v>26971000</v>
      </c>
      <c r="E27">
        <v>1.6859999999999999</v>
      </c>
      <c r="F27" s="1">
        <v>45137</v>
      </c>
      <c r="G27" s="2">
        <v>0.7416666666666667</v>
      </c>
    </row>
    <row r="28" spans="1:7" x14ac:dyDescent="0.35">
      <c r="A28" t="s">
        <v>32</v>
      </c>
      <c r="B28">
        <v>3.49</v>
      </c>
      <c r="C28">
        <v>0.06</v>
      </c>
      <c r="D28">
        <v>26375000</v>
      </c>
      <c r="E28">
        <v>37.084000000000003</v>
      </c>
      <c r="F28" s="1">
        <v>45137</v>
      </c>
      <c r="G28" s="2">
        <v>0.7416666666666667</v>
      </c>
    </row>
    <row r="29" spans="1:7" x14ac:dyDescent="0.35">
      <c r="A29" t="s">
        <v>60</v>
      </c>
      <c r="B29">
        <v>6.32</v>
      </c>
      <c r="C29">
        <v>0.74</v>
      </c>
      <c r="D29">
        <v>26298000</v>
      </c>
      <c r="E29">
        <v>6.0460000000000003</v>
      </c>
      <c r="F29" s="1">
        <v>45137</v>
      </c>
      <c r="G29" s="2">
        <v>0.7416666666666667</v>
      </c>
    </row>
    <row r="30" spans="1:7" x14ac:dyDescent="0.35">
      <c r="A30" t="s">
        <v>74</v>
      </c>
      <c r="B30">
        <v>3.86</v>
      </c>
      <c r="C30">
        <v>0.41</v>
      </c>
      <c r="D30">
        <v>26063000</v>
      </c>
      <c r="E30">
        <v>18.503</v>
      </c>
      <c r="F30" s="1">
        <v>45137</v>
      </c>
      <c r="G30" s="2">
        <v>0.7416666666666667</v>
      </c>
    </row>
    <row r="31" spans="1:7" x14ac:dyDescent="0.35">
      <c r="A31" t="s">
        <v>75</v>
      </c>
      <c r="B31">
        <v>8</v>
      </c>
      <c r="C31">
        <v>1.57</v>
      </c>
      <c r="D31">
        <v>25690000</v>
      </c>
      <c r="E31">
        <v>5.1079999999999997</v>
      </c>
      <c r="F31" s="1">
        <v>45137</v>
      </c>
      <c r="G31" s="2">
        <v>0.7416666666666667</v>
      </c>
    </row>
    <row r="32" spans="1:7" x14ac:dyDescent="0.35">
      <c r="A32" t="s">
        <v>34</v>
      </c>
      <c r="B32">
        <v>4.84</v>
      </c>
      <c r="C32">
        <v>0.59</v>
      </c>
      <c r="D32">
        <v>24979000</v>
      </c>
      <c r="E32">
        <v>3.14</v>
      </c>
      <c r="F32" s="1">
        <v>45137</v>
      </c>
      <c r="G32" s="2">
        <v>0.7416666666666667</v>
      </c>
    </row>
    <row r="33" spans="1:7" x14ac:dyDescent="0.35">
      <c r="A33" t="s">
        <v>38</v>
      </c>
      <c r="B33">
        <v>4.6399999999999997</v>
      </c>
      <c r="C33">
        <v>0.12</v>
      </c>
      <c r="D33">
        <v>24813000</v>
      </c>
      <c r="E33">
        <v>4.0060000000000002</v>
      </c>
      <c r="F33" s="1">
        <v>45137</v>
      </c>
      <c r="G33" s="2">
        <v>0.7416666666666667</v>
      </c>
    </row>
    <row r="34" spans="1:7" x14ac:dyDescent="0.35">
      <c r="A34" t="s">
        <v>10</v>
      </c>
      <c r="B34">
        <v>18.489999999999998</v>
      </c>
      <c r="C34">
        <v>0.27</v>
      </c>
      <c r="D34">
        <v>24508000</v>
      </c>
      <c r="E34">
        <v>24.149000000000001</v>
      </c>
      <c r="F34" s="1">
        <v>45137</v>
      </c>
      <c r="G34" s="2">
        <v>0.7416666666666667</v>
      </c>
    </row>
    <row r="35" spans="1:7" x14ac:dyDescent="0.35">
      <c r="A35" t="s">
        <v>30</v>
      </c>
      <c r="B35">
        <v>36.07</v>
      </c>
      <c r="C35">
        <v>-0.13</v>
      </c>
      <c r="D35">
        <v>24054000</v>
      </c>
      <c r="E35">
        <v>203.626</v>
      </c>
      <c r="F35" s="1">
        <v>45137</v>
      </c>
      <c r="G35" s="2">
        <v>0.7416666666666667</v>
      </c>
    </row>
    <row r="36" spans="1:7" x14ac:dyDescent="0.35">
      <c r="A36" t="s">
        <v>54</v>
      </c>
      <c r="B36">
        <v>44.02</v>
      </c>
      <c r="C36">
        <v>3.56</v>
      </c>
      <c r="D36">
        <v>23759000</v>
      </c>
      <c r="E36">
        <v>7.8179999999999996</v>
      </c>
      <c r="F36" s="1">
        <v>45137</v>
      </c>
      <c r="G36" s="2">
        <v>0.7416666666666667</v>
      </c>
    </row>
    <row r="37" spans="1:7" x14ac:dyDescent="0.35">
      <c r="A37" t="s">
        <v>76</v>
      </c>
      <c r="B37">
        <v>21.28</v>
      </c>
      <c r="C37">
        <v>-1.55</v>
      </c>
      <c r="D37">
        <v>23104000</v>
      </c>
      <c r="E37">
        <v>14.366</v>
      </c>
      <c r="F37" s="1">
        <v>45137</v>
      </c>
      <c r="G37" s="2">
        <v>0.7416666666666667</v>
      </c>
    </row>
    <row r="38" spans="1:7" x14ac:dyDescent="0.35">
      <c r="A38" t="s">
        <v>14</v>
      </c>
      <c r="B38">
        <v>16.7</v>
      </c>
      <c r="C38">
        <v>0.73</v>
      </c>
      <c r="D38">
        <v>21421000</v>
      </c>
      <c r="E38">
        <v>2.8380000000000001</v>
      </c>
      <c r="F38" s="1">
        <v>45137</v>
      </c>
      <c r="G38" s="2">
        <v>0.7416666666666667</v>
      </c>
    </row>
    <row r="39" spans="1:7" x14ac:dyDescent="0.35">
      <c r="A39" t="s">
        <v>49</v>
      </c>
      <c r="B39">
        <v>47.41</v>
      </c>
      <c r="C39">
        <v>-0.47</v>
      </c>
      <c r="D39">
        <v>20881000</v>
      </c>
      <c r="E39">
        <v>91.296999999999997</v>
      </c>
      <c r="F39" s="1">
        <v>45137</v>
      </c>
      <c r="G39" s="2">
        <v>0.7416666666666667</v>
      </c>
    </row>
    <row r="40" spans="1:7" x14ac:dyDescent="0.35">
      <c r="A40" t="s">
        <v>51</v>
      </c>
      <c r="B40">
        <v>2.44</v>
      </c>
      <c r="C40">
        <v>0.2</v>
      </c>
      <c r="D40">
        <v>20809000</v>
      </c>
      <c r="E40">
        <v>5.0890000000000004</v>
      </c>
      <c r="F40" s="1">
        <v>45137</v>
      </c>
      <c r="G40" s="2">
        <v>0.7416666666666667</v>
      </c>
    </row>
    <row r="41" spans="1:7" x14ac:dyDescent="0.35">
      <c r="A41" t="s">
        <v>77</v>
      </c>
      <c r="B41">
        <v>45.23</v>
      </c>
      <c r="C41">
        <v>-0.12</v>
      </c>
      <c r="D41">
        <v>20669000</v>
      </c>
      <c r="E41">
        <v>188.55600000000001</v>
      </c>
      <c r="F41" s="1">
        <v>45137</v>
      </c>
      <c r="G41" s="2">
        <v>0.7416666666666667</v>
      </c>
    </row>
    <row r="42" spans="1:7" x14ac:dyDescent="0.35">
      <c r="A42" t="s">
        <v>50</v>
      </c>
      <c r="B42">
        <v>7.9</v>
      </c>
      <c r="C42">
        <v>0.12</v>
      </c>
      <c r="D42">
        <v>20603000</v>
      </c>
      <c r="E42">
        <v>37.088999999999999</v>
      </c>
      <c r="F42" s="1">
        <v>45137</v>
      </c>
      <c r="G42" s="2">
        <v>0.7416666666666667</v>
      </c>
    </row>
    <row r="43" spans="1:7" x14ac:dyDescent="0.35">
      <c r="A43" t="s">
        <v>78</v>
      </c>
      <c r="B43">
        <v>1.7</v>
      </c>
      <c r="C43">
        <v>0.17</v>
      </c>
      <c r="D43">
        <v>20147000</v>
      </c>
      <c r="E43">
        <v>2.67</v>
      </c>
      <c r="F43" s="1">
        <v>45137</v>
      </c>
      <c r="G43" s="2">
        <v>0.7416666666666667</v>
      </c>
    </row>
    <row r="44" spans="1:7" x14ac:dyDescent="0.35">
      <c r="A44" t="s">
        <v>58</v>
      </c>
      <c r="B44">
        <v>5.1100000000000003</v>
      </c>
      <c r="C44">
        <v>0.3</v>
      </c>
      <c r="D44">
        <v>19854000</v>
      </c>
      <c r="E44">
        <v>19.768000000000001</v>
      </c>
      <c r="F44" s="1">
        <v>45137</v>
      </c>
      <c r="G44" s="2">
        <v>0.7416666666666667</v>
      </c>
    </row>
    <row r="45" spans="1:7" x14ac:dyDescent="0.35">
      <c r="A45" t="s">
        <v>79</v>
      </c>
      <c r="B45">
        <v>1.82</v>
      </c>
      <c r="C45">
        <v>0.06</v>
      </c>
      <c r="D45">
        <v>19849000</v>
      </c>
      <c r="E45">
        <v>8.0730000000000004</v>
      </c>
      <c r="F45" s="1">
        <v>45137</v>
      </c>
      <c r="G45" s="2">
        <v>0.7416666666666667</v>
      </c>
    </row>
    <row r="46" spans="1:7" x14ac:dyDescent="0.35">
      <c r="A46" t="s">
        <v>36</v>
      </c>
      <c r="B46">
        <v>6.44</v>
      </c>
      <c r="C46">
        <v>0.19</v>
      </c>
      <c r="D46">
        <v>18646000</v>
      </c>
      <c r="E46">
        <v>7.0919999999999996</v>
      </c>
      <c r="F46" s="1">
        <v>45137</v>
      </c>
      <c r="G46" s="2">
        <v>0.7416666666666667</v>
      </c>
    </row>
    <row r="47" spans="1:7" x14ac:dyDescent="0.35">
      <c r="A47" t="s">
        <v>29</v>
      </c>
      <c r="B47">
        <v>16.79</v>
      </c>
      <c r="C47">
        <v>0.22</v>
      </c>
      <c r="D47">
        <v>18588000</v>
      </c>
      <c r="E47">
        <v>10.97</v>
      </c>
      <c r="F47" s="1">
        <v>45137</v>
      </c>
      <c r="G47" s="2">
        <v>0.7416666666666667</v>
      </c>
    </row>
    <row r="48" spans="1:7" x14ac:dyDescent="0.35">
      <c r="A48" t="s">
        <v>80</v>
      </c>
      <c r="B48">
        <v>18.670000000000002</v>
      </c>
      <c r="C48">
        <v>2.4700000000000002</v>
      </c>
      <c r="D48">
        <v>18093000</v>
      </c>
      <c r="E48">
        <v>7.91</v>
      </c>
      <c r="F48" s="1">
        <v>45137</v>
      </c>
      <c r="G48" s="2">
        <v>0.7416666666666667</v>
      </c>
    </row>
    <row r="49" spans="1:7" x14ac:dyDescent="0.35">
      <c r="A49" t="s">
        <v>67</v>
      </c>
      <c r="B49">
        <v>3.76</v>
      </c>
      <c r="C49">
        <v>0.15</v>
      </c>
      <c r="D49">
        <v>18078000</v>
      </c>
      <c r="E49">
        <v>14.615</v>
      </c>
      <c r="F49" s="1">
        <v>45137</v>
      </c>
      <c r="G49" s="2">
        <v>0.7416666666666667</v>
      </c>
    </row>
    <row r="50" spans="1:7" x14ac:dyDescent="0.35">
      <c r="A50" t="s">
        <v>48</v>
      </c>
      <c r="B50">
        <v>104.16</v>
      </c>
      <c r="C50">
        <v>-1.26</v>
      </c>
      <c r="D50">
        <v>17572000</v>
      </c>
      <c r="E50">
        <v>421.11700000000002</v>
      </c>
      <c r="F50" s="1">
        <v>45137</v>
      </c>
      <c r="G50" s="2">
        <v>0.7416666666666667</v>
      </c>
    </row>
    <row r="51" spans="1:7" x14ac:dyDescent="0.35">
      <c r="A51" t="s">
        <v>69</v>
      </c>
      <c r="B51">
        <v>38.049999999999997</v>
      </c>
      <c r="C51">
        <v>-0.92</v>
      </c>
      <c r="D51">
        <v>17483000</v>
      </c>
      <c r="E51">
        <v>52.893999999999998</v>
      </c>
      <c r="F51" s="1">
        <v>45137</v>
      </c>
      <c r="G51" s="2">
        <v>0.7416666666666667</v>
      </c>
    </row>
    <row r="52" spans="1:7" x14ac:dyDescent="0.35">
      <c r="A52" t="s">
        <v>42</v>
      </c>
      <c r="B52">
        <v>48.14</v>
      </c>
      <c r="C52">
        <v>1.53</v>
      </c>
      <c r="D52">
        <v>17155000</v>
      </c>
      <c r="E52">
        <v>97.427000000000007</v>
      </c>
      <c r="F52" s="1">
        <v>45137</v>
      </c>
      <c r="G52" s="2">
        <v>0.7416666666666667</v>
      </c>
    </row>
    <row r="53" spans="1:7" x14ac:dyDescent="0.35">
      <c r="A53" t="s">
        <v>81</v>
      </c>
      <c r="B53">
        <v>40.53</v>
      </c>
      <c r="C53">
        <v>2.5499999999999998</v>
      </c>
      <c r="D53">
        <v>16993000</v>
      </c>
      <c r="E53">
        <v>63.670999999999999</v>
      </c>
      <c r="F53" s="1">
        <v>45137</v>
      </c>
      <c r="G53" s="2">
        <v>0.7416666666666667</v>
      </c>
    </row>
    <row r="54" spans="1:7" x14ac:dyDescent="0.35">
      <c r="A54" t="s">
        <v>31</v>
      </c>
      <c r="B54">
        <v>18.38</v>
      </c>
      <c r="C54">
        <v>0.78</v>
      </c>
      <c r="D54">
        <v>16692000</v>
      </c>
      <c r="E54">
        <v>3.2749999999999999</v>
      </c>
      <c r="F54" s="1">
        <v>45137</v>
      </c>
      <c r="G54" s="2">
        <v>0.7416666666666667</v>
      </c>
    </row>
    <row r="55" spans="1:7" x14ac:dyDescent="0.35">
      <c r="A55" t="s">
        <v>21</v>
      </c>
      <c r="B55">
        <v>11.86</v>
      </c>
      <c r="C55">
        <v>0.21</v>
      </c>
      <c r="D55">
        <v>16564000</v>
      </c>
      <c r="E55">
        <v>7.1219999999999999</v>
      </c>
      <c r="F55" s="1">
        <v>45137</v>
      </c>
      <c r="G55" s="2">
        <v>0.7416666666666667</v>
      </c>
    </row>
    <row r="56" spans="1:7" x14ac:dyDescent="0.35">
      <c r="A56" t="s">
        <v>63</v>
      </c>
      <c r="B56">
        <v>12.79</v>
      </c>
      <c r="C56">
        <v>0.5</v>
      </c>
      <c r="D56">
        <v>16138000</v>
      </c>
      <c r="E56">
        <v>31.158000000000001</v>
      </c>
      <c r="F56" s="1">
        <v>45137</v>
      </c>
      <c r="G56" s="2">
        <v>0.7416666666666667</v>
      </c>
    </row>
    <row r="57" spans="1:7" x14ac:dyDescent="0.35">
      <c r="A57" t="s">
        <v>82</v>
      </c>
      <c r="B57">
        <v>13.66</v>
      </c>
      <c r="C57">
        <v>0.65</v>
      </c>
      <c r="D57">
        <v>16092000</v>
      </c>
      <c r="E57">
        <v>9.8640000000000008</v>
      </c>
      <c r="F57" s="1">
        <v>45137</v>
      </c>
      <c r="G57" s="2">
        <v>0.7416666666666667</v>
      </c>
    </row>
    <row r="58" spans="1:7" x14ac:dyDescent="0.35">
      <c r="A58" t="s">
        <v>24</v>
      </c>
      <c r="B58">
        <v>39.76</v>
      </c>
      <c r="C58">
        <v>1.55</v>
      </c>
      <c r="D58">
        <v>15824000</v>
      </c>
      <c r="E58">
        <v>4.5970000000000004</v>
      </c>
      <c r="F58" s="1">
        <v>45137</v>
      </c>
      <c r="G58" s="2">
        <v>0.7416666666666667</v>
      </c>
    </row>
    <row r="59" spans="1:7" x14ac:dyDescent="0.35">
      <c r="A59" t="s">
        <v>41</v>
      </c>
      <c r="B59">
        <v>12.48</v>
      </c>
      <c r="C59">
        <v>0.53</v>
      </c>
      <c r="D59">
        <v>15685000</v>
      </c>
      <c r="E59">
        <v>4.7190000000000003</v>
      </c>
      <c r="F59" s="1">
        <v>45137</v>
      </c>
      <c r="G59" s="2">
        <v>0.7416666666666667</v>
      </c>
    </row>
    <row r="60" spans="1:7" x14ac:dyDescent="0.35">
      <c r="A60" t="s">
        <v>83</v>
      </c>
      <c r="B60">
        <v>154.33000000000001</v>
      </c>
      <c r="C60">
        <v>-12.47</v>
      </c>
      <c r="D60">
        <v>15657000</v>
      </c>
      <c r="E60">
        <v>21.15</v>
      </c>
      <c r="F60" s="1">
        <v>45137</v>
      </c>
      <c r="G60" s="2">
        <v>0.7416666666666667</v>
      </c>
    </row>
    <row r="61" spans="1:7" x14ac:dyDescent="0.35">
      <c r="A61" t="s">
        <v>84</v>
      </c>
      <c r="B61">
        <v>27.63</v>
      </c>
      <c r="C61">
        <v>-2.06</v>
      </c>
      <c r="D61">
        <v>15079000</v>
      </c>
      <c r="E61">
        <v>8.8859999999999992</v>
      </c>
      <c r="F61" s="1">
        <v>45137</v>
      </c>
      <c r="G61" s="2">
        <v>0.7416666666666667</v>
      </c>
    </row>
    <row r="62" spans="1:7" x14ac:dyDescent="0.35">
      <c r="A62" t="s">
        <v>35</v>
      </c>
      <c r="B62">
        <v>12.57</v>
      </c>
      <c r="C62">
        <v>0.31</v>
      </c>
      <c r="D62">
        <v>14862000</v>
      </c>
      <c r="E62">
        <v>11.762</v>
      </c>
      <c r="F62" s="1">
        <v>45137</v>
      </c>
      <c r="G62" s="2">
        <v>0.7416666666666667</v>
      </c>
    </row>
    <row r="63" spans="1:7" x14ac:dyDescent="0.35">
      <c r="A63" t="s">
        <v>65</v>
      </c>
      <c r="B63">
        <v>17.93</v>
      </c>
      <c r="C63">
        <v>2.4</v>
      </c>
      <c r="D63">
        <v>14819000</v>
      </c>
      <c r="E63">
        <v>3.6040000000000001</v>
      </c>
      <c r="F63" s="1">
        <v>45137</v>
      </c>
      <c r="G63" s="2">
        <v>0.7416666666666667</v>
      </c>
    </row>
    <row r="64" spans="1:7" x14ac:dyDescent="0.35">
      <c r="A64" t="s">
        <v>43</v>
      </c>
      <c r="B64">
        <v>33.92</v>
      </c>
      <c r="C64">
        <v>0.16</v>
      </c>
      <c r="D64">
        <v>14640000</v>
      </c>
      <c r="E64">
        <v>47.616</v>
      </c>
      <c r="F64" s="1">
        <v>45137</v>
      </c>
      <c r="G64" s="2">
        <v>0.7416666666666667</v>
      </c>
    </row>
    <row r="65" spans="1:7" x14ac:dyDescent="0.35">
      <c r="A65" t="s">
        <v>85</v>
      </c>
      <c r="B65">
        <v>14.35</v>
      </c>
      <c r="C65">
        <v>-0.93</v>
      </c>
      <c r="D65">
        <v>14264000</v>
      </c>
      <c r="E65">
        <v>19.126000000000001</v>
      </c>
      <c r="F65" s="1">
        <v>45137</v>
      </c>
      <c r="G65" s="2">
        <v>0.7416666666666667</v>
      </c>
    </row>
    <row r="66" spans="1:7" x14ac:dyDescent="0.35">
      <c r="A66" t="s">
        <v>59</v>
      </c>
      <c r="B66">
        <v>7.79</v>
      </c>
      <c r="C66">
        <v>0.81</v>
      </c>
      <c r="D66">
        <v>14162000</v>
      </c>
      <c r="E66">
        <v>4.1539999999999999</v>
      </c>
      <c r="F66" s="1">
        <v>45137</v>
      </c>
      <c r="G66" s="2">
        <v>0.7416666666666667</v>
      </c>
    </row>
    <row r="67" spans="1:7" x14ac:dyDescent="0.35">
      <c r="A67" t="s">
        <v>86</v>
      </c>
      <c r="B67">
        <v>174.48</v>
      </c>
      <c r="C67">
        <v>0.79</v>
      </c>
      <c r="D67">
        <v>14139000</v>
      </c>
      <c r="E67">
        <v>453.42599999999999</v>
      </c>
      <c r="F67" s="1">
        <v>45137</v>
      </c>
      <c r="G67" s="2">
        <v>0.7416666666666667</v>
      </c>
    </row>
    <row r="68" spans="1:7" x14ac:dyDescent="0.35">
      <c r="A68" t="s">
        <v>38</v>
      </c>
      <c r="B68">
        <v>1.8</v>
      </c>
      <c r="C68">
        <v>-0.06</v>
      </c>
      <c r="D68">
        <v>14021000</v>
      </c>
      <c r="E68">
        <v>4.4950000000000001</v>
      </c>
      <c r="F68" s="1">
        <v>45137</v>
      </c>
      <c r="G68" s="2">
        <v>0.7416666666666667</v>
      </c>
    </row>
    <row r="69" spans="1:7" x14ac:dyDescent="0.35">
      <c r="A69" t="s">
        <v>61</v>
      </c>
      <c r="B69">
        <v>86.13</v>
      </c>
      <c r="C69">
        <v>0.77</v>
      </c>
      <c r="D69">
        <v>13638000</v>
      </c>
      <c r="E69">
        <v>157.38499999999999</v>
      </c>
      <c r="F69" s="1">
        <v>45137</v>
      </c>
      <c r="G69" s="2">
        <v>0.7416666666666667</v>
      </c>
    </row>
    <row r="70" spans="1:7" x14ac:dyDescent="0.35">
      <c r="A70" t="s">
        <v>47</v>
      </c>
      <c r="B70">
        <v>6</v>
      </c>
      <c r="C70">
        <v>0.1</v>
      </c>
      <c r="D70">
        <v>13535000</v>
      </c>
      <c r="E70">
        <v>58.8</v>
      </c>
      <c r="F70" s="1">
        <v>45137</v>
      </c>
      <c r="G70" s="2">
        <v>0.7416666666666667</v>
      </c>
    </row>
    <row r="71" spans="1:7" x14ac:dyDescent="0.35">
      <c r="A71" t="s">
        <v>87</v>
      </c>
      <c r="B71">
        <v>42.72</v>
      </c>
      <c r="C71">
        <v>3.73</v>
      </c>
      <c r="D71">
        <v>13517000</v>
      </c>
      <c r="E71">
        <v>42.280999999999999</v>
      </c>
      <c r="F71" s="1">
        <v>45137</v>
      </c>
      <c r="G71" s="2">
        <v>0.7416666666666667</v>
      </c>
    </row>
    <row r="72" spans="1:7" x14ac:dyDescent="0.35">
      <c r="A72" t="s">
        <v>88</v>
      </c>
      <c r="B72">
        <v>17.989999999999998</v>
      </c>
      <c r="C72">
        <v>0.61</v>
      </c>
      <c r="D72">
        <v>13369000</v>
      </c>
      <c r="E72">
        <v>22.59</v>
      </c>
      <c r="F72" s="1">
        <v>45137</v>
      </c>
      <c r="G72" s="2">
        <v>0.7416666666666667</v>
      </c>
    </row>
    <row r="73" spans="1:7" x14ac:dyDescent="0.35">
      <c r="A73" t="s">
        <v>89</v>
      </c>
      <c r="B73">
        <v>24.4</v>
      </c>
      <c r="C73">
        <v>0.16</v>
      </c>
      <c r="D73">
        <v>13218000</v>
      </c>
      <c r="E73">
        <v>46.722999999999999</v>
      </c>
      <c r="F73" s="1">
        <v>45137</v>
      </c>
      <c r="G73" s="2">
        <v>0.7416666666666667</v>
      </c>
    </row>
    <row r="74" spans="1:7" x14ac:dyDescent="0.35">
      <c r="A74" t="s">
        <v>90</v>
      </c>
      <c r="B74">
        <v>18.010000000000002</v>
      </c>
      <c r="C74">
        <v>1.03</v>
      </c>
      <c r="D74">
        <v>13045000</v>
      </c>
      <c r="E74">
        <v>32.036999999999999</v>
      </c>
      <c r="F74" s="1">
        <v>45137</v>
      </c>
      <c r="G74" s="2">
        <v>0.7416666666666667</v>
      </c>
    </row>
    <row r="75" spans="1:7" x14ac:dyDescent="0.35">
      <c r="A75" t="s">
        <v>91</v>
      </c>
      <c r="B75">
        <v>7.13</v>
      </c>
      <c r="C75">
        <v>0.78</v>
      </c>
      <c r="D75">
        <v>12656000</v>
      </c>
      <c r="E75">
        <v>13.409000000000001</v>
      </c>
      <c r="F75" s="1">
        <v>45137</v>
      </c>
      <c r="G75" s="2">
        <v>0.7416666666666667</v>
      </c>
    </row>
    <row r="76" spans="1:7" x14ac:dyDescent="0.35">
      <c r="A76" t="s">
        <v>56</v>
      </c>
      <c r="B76">
        <v>46.14</v>
      </c>
      <c r="C76">
        <v>0.37</v>
      </c>
      <c r="D76">
        <v>12618000</v>
      </c>
      <c r="E76">
        <v>169.226</v>
      </c>
      <c r="F76" s="1">
        <v>45137</v>
      </c>
      <c r="G76" s="2">
        <v>0.7416666666666667</v>
      </c>
    </row>
    <row r="77" spans="1:7" x14ac:dyDescent="0.35">
      <c r="A77" t="s">
        <v>92</v>
      </c>
      <c r="B77">
        <v>89.33</v>
      </c>
      <c r="C77">
        <v>-7.6</v>
      </c>
      <c r="D77">
        <v>12572000</v>
      </c>
      <c r="E77">
        <v>21.263999999999999</v>
      </c>
      <c r="F77" s="1">
        <v>45137</v>
      </c>
      <c r="G77" s="2">
        <v>0.7416666666666667</v>
      </c>
    </row>
    <row r="78" spans="1:7" x14ac:dyDescent="0.35">
      <c r="A78" t="s">
        <v>93</v>
      </c>
      <c r="B78">
        <v>33.700000000000003</v>
      </c>
      <c r="C78">
        <v>0.68</v>
      </c>
      <c r="D78">
        <v>12517000</v>
      </c>
      <c r="E78">
        <v>20.053999999999998</v>
      </c>
      <c r="F78" s="1">
        <v>45137</v>
      </c>
      <c r="G78" s="2">
        <v>0.7416666666666667</v>
      </c>
    </row>
    <row r="79" spans="1:7" x14ac:dyDescent="0.35">
      <c r="A79" t="s">
        <v>94</v>
      </c>
      <c r="B79">
        <v>167.19</v>
      </c>
      <c r="C79">
        <v>58.64</v>
      </c>
      <c r="D79">
        <v>12341000</v>
      </c>
      <c r="E79">
        <v>6.2779999999999996</v>
      </c>
      <c r="F79" s="1">
        <v>45137</v>
      </c>
      <c r="G79" s="2">
        <v>0.7416666666666667</v>
      </c>
    </row>
    <row r="80" spans="1:7" x14ac:dyDescent="0.35">
      <c r="A80" t="s">
        <v>52</v>
      </c>
      <c r="B80">
        <v>5.58</v>
      </c>
      <c r="C80">
        <v>0.33</v>
      </c>
      <c r="D80">
        <v>12186000</v>
      </c>
      <c r="E80">
        <v>2.2069999999999999</v>
      </c>
      <c r="F80" s="1">
        <v>45137</v>
      </c>
      <c r="G80" s="2">
        <v>0.7416666666666667</v>
      </c>
    </row>
    <row r="81" spans="1:7" x14ac:dyDescent="0.35">
      <c r="A81" t="s">
        <v>70</v>
      </c>
      <c r="B81">
        <v>3.93</v>
      </c>
      <c r="C81">
        <v>0.03</v>
      </c>
      <c r="D81">
        <v>12088000</v>
      </c>
      <c r="E81">
        <v>21.824000000000002</v>
      </c>
      <c r="F81" s="1">
        <v>45137</v>
      </c>
      <c r="G81" s="2">
        <v>0.7416666666666667</v>
      </c>
    </row>
    <row r="82" spans="1:7" x14ac:dyDescent="0.35">
      <c r="A82" t="s">
        <v>23</v>
      </c>
      <c r="B82">
        <v>17.66</v>
      </c>
      <c r="C82">
        <v>7.0000000000000007E-2</v>
      </c>
      <c r="D82">
        <v>12031000</v>
      </c>
      <c r="E82">
        <v>41.426000000000002</v>
      </c>
      <c r="F82" s="1">
        <v>45137</v>
      </c>
      <c r="G82" s="2">
        <v>0.7416666666666667</v>
      </c>
    </row>
    <row r="83" spans="1:7" x14ac:dyDescent="0.35">
      <c r="A83" t="s">
        <v>66</v>
      </c>
      <c r="B83">
        <v>33.799999999999997</v>
      </c>
      <c r="C83">
        <v>0.77</v>
      </c>
      <c r="D83">
        <v>12014000</v>
      </c>
      <c r="E83">
        <v>67.813999999999993</v>
      </c>
      <c r="F83" s="1">
        <v>45137</v>
      </c>
      <c r="G83" s="2">
        <v>0.7416666666666667</v>
      </c>
    </row>
    <row r="84" spans="1:7" x14ac:dyDescent="0.35">
      <c r="A84" t="s">
        <v>27</v>
      </c>
      <c r="B84">
        <v>17.27</v>
      </c>
      <c r="C84">
        <v>0.84</v>
      </c>
      <c r="D84">
        <v>11982000</v>
      </c>
      <c r="E84">
        <v>5.1059999999999999</v>
      </c>
      <c r="F84" s="1">
        <v>45137</v>
      </c>
      <c r="G84" s="2">
        <v>0.7416666666666667</v>
      </c>
    </row>
    <row r="85" spans="1:7" x14ac:dyDescent="0.35">
      <c r="A85" t="s">
        <v>95</v>
      </c>
      <c r="B85">
        <v>5.9</v>
      </c>
      <c r="C85">
        <v>0.26</v>
      </c>
      <c r="D85">
        <v>11946000</v>
      </c>
      <c r="E85">
        <v>2.0209999999999999</v>
      </c>
      <c r="F85" s="1">
        <v>45137</v>
      </c>
      <c r="G85" s="2">
        <v>0.7416666666666667</v>
      </c>
    </row>
    <row r="86" spans="1:7" x14ac:dyDescent="0.35">
      <c r="A86" t="s">
        <v>46</v>
      </c>
      <c r="B86">
        <v>71.2</v>
      </c>
      <c r="C86">
        <v>0.13</v>
      </c>
      <c r="D86">
        <v>11936000</v>
      </c>
      <c r="E86">
        <v>77.984999999999999</v>
      </c>
      <c r="F86" s="1">
        <v>45137</v>
      </c>
      <c r="G86" s="2">
        <v>0.7416666666666667</v>
      </c>
    </row>
    <row r="87" spans="1:7" x14ac:dyDescent="0.35">
      <c r="A87" t="s">
        <v>96</v>
      </c>
      <c r="B87">
        <v>65.180000000000007</v>
      </c>
      <c r="C87">
        <v>6.24</v>
      </c>
      <c r="D87">
        <v>11790000</v>
      </c>
      <c r="E87">
        <v>5.3879999999999999</v>
      </c>
      <c r="F87" s="1">
        <v>45137</v>
      </c>
      <c r="G87" s="2">
        <v>0.7416666666666667</v>
      </c>
    </row>
    <row r="88" spans="1:7" x14ac:dyDescent="0.35">
      <c r="A88" t="s">
        <v>97</v>
      </c>
      <c r="B88">
        <v>129.47999999999999</v>
      </c>
      <c r="C88">
        <v>3.63</v>
      </c>
      <c r="D88">
        <v>11765000</v>
      </c>
      <c r="E88">
        <v>144.24100000000001</v>
      </c>
      <c r="F88" s="1">
        <v>45137</v>
      </c>
      <c r="G88" s="2">
        <v>0.7416666666666667</v>
      </c>
    </row>
    <row r="89" spans="1:7" x14ac:dyDescent="0.35">
      <c r="A89" t="s">
        <v>98</v>
      </c>
      <c r="B89">
        <v>89.35</v>
      </c>
      <c r="C89">
        <v>4.82</v>
      </c>
      <c r="D89">
        <v>11685000</v>
      </c>
      <c r="E89">
        <v>118.71</v>
      </c>
      <c r="F89" s="1">
        <v>45137</v>
      </c>
      <c r="G89" s="2">
        <v>0.7416666666666667</v>
      </c>
    </row>
    <row r="90" spans="1:7" x14ac:dyDescent="0.35">
      <c r="A90" t="s">
        <v>99</v>
      </c>
      <c r="B90">
        <v>87.34</v>
      </c>
      <c r="C90">
        <v>2.17</v>
      </c>
      <c r="D90">
        <v>11622000</v>
      </c>
      <c r="E90">
        <v>127.616</v>
      </c>
      <c r="F90" s="1">
        <v>45137</v>
      </c>
      <c r="G90" s="2">
        <v>0.7416666666666667</v>
      </c>
    </row>
    <row r="91" spans="1:7" x14ac:dyDescent="0.35">
      <c r="A91" t="s">
        <v>100</v>
      </c>
      <c r="B91">
        <v>61.41</v>
      </c>
      <c r="C91">
        <v>0.68</v>
      </c>
      <c r="D91">
        <v>11595000</v>
      </c>
      <c r="E91">
        <v>129.01300000000001</v>
      </c>
      <c r="F91" s="1">
        <v>45137</v>
      </c>
      <c r="G91" s="2">
        <v>0.7416666666666667</v>
      </c>
    </row>
    <row r="92" spans="1:7" x14ac:dyDescent="0.35">
      <c r="A92" t="s">
        <v>64</v>
      </c>
      <c r="B92">
        <v>39.54</v>
      </c>
      <c r="C92">
        <v>0.72</v>
      </c>
      <c r="D92">
        <v>11513000</v>
      </c>
      <c r="E92">
        <v>60.612000000000002</v>
      </c>
      <c r="F92" s="1">
        <v>45137</v>
      </c>
      <c r="G92" s="2">
        <v>0.7416666666666667</v>
      </c>
    </row>
    <row r="93" spans="1:7" x14ac:dyDescent="0.35">
      <c r="A93" t="s">
        <v>62</v>
      </c>
      <c r="B93">
        <v>33.01</v>
      </c>
      <c r="C93">
        <v>1.02</v>
      </c>
      <c r="D93">
        <v>11457000</v>
      </c>
      <c r="E93">
        <v>43.969000000000001</v>
      </c>
      <c r="F93" s="1">
        <v>45137</v>
      </c>
      <c r="G93" s="2">
        <v>0.7416666666666667</v>
      </c>
    </row>
    <row r="94" spans="1:7" x14ac:dyDescent="0.35">
      <c r="A94" t="s">
        <v>101</v>
      </c>
      <c r="B94">
        <v>208.4</v>
      </c>
      <c r="C94">
        <v>9.6</v>
      </c>
      <c r="D94">
        <v>11362000</v>
      </c>
      <c r="E94">
        <v>22.263000000000002</v>
      </c>
      <c r="F94" s="1">
        <v>45137</v>
      </c>
      <c r="G94" s="2">
        <v>0.7416666666666667</v>
      </c>
    </row>
    <row r="95" spans="1:7" x14ac:dyDescent="0.35">
      <c r="A95" t="s">
        <v>71</v>
      </c>
      <c r="B95">
        <v>29.8</v>
      </c>
      <c r="C95">
        <v>-0.83</v>
      </c>
      <c r="D95">
        <v>11325000</v>
      </c>
      <c r="E95">
        <v>25.725000000000001</v>
      </c>
      <c r="F95" s="1">
        <v>45137</v>
      </c>
      <c r="G95" s="2">
        <v>0.7416666666666667</v>
      </c>
    </row>
    <row r="96" spans="1:7" x14ac:dyDescent="0.35">
      <c r="A96" t="s">
        <v>45</v>
      </c>
      <c r="B96">
        <v>16.98</v>
      </c>
      <c r="C96">
        <v>0.2</v>
      </c>
      <c r="D96">
        <v>11243000</v>
      </c>
      <c r="E96">
        <v>29.808</v>
      </c>
      <c r="F96" s="1">
        <v>45137</v>
      </c>
      <c r="G96" s="2">
        <v>0.7416666666666667</v>
      </c>
    </row>
    <row r="97" spans="1:7" x14ac:dyDescent="0.35">
      <c r="A97" t="s">
        <v>55</v>
      </c>
      <c r="B97">
        <v>21.54</v>
      </c>
      <c r="C97">
        <v>0.21</v>
      </c>
      <c r="D97">
        <v>11235000</v>
      </c>
      <c r="E97">
        <v>9.1370000000000005</v>
      </c>
      <c r="F97" s="1">
        <v>45137</v>
      </c>
      <c r="G97" s="2">
        <v>0.7416666666666667</v>
      </c>
    </row>
    <row r="98" spans="1:7" x14ac:dyDescent="0.35">
      <c r="A98" t="s">
        <v>102</v>
      </c>
      <c r="B98">
        <v>10.33</v>
      </c>
      <c r="C98">
        <v>0.22</v>
      </c>
      <c r="D98">
        <v>11179000</v>
      </c>
      <c r="E98">
        <v>4.4749999999999996</v>
      </c>
      <c r="F98" s="1">
        <v>45137</v>
      </c>
      <c r="G98" s="2">
        <v>0.7416666666666667</v>
      </c>
    </row>
    <row r="99" spans="1:7" x14ac:dyDescent="0.35">
      <c r="A99" t="s">
        <v>53</v>
      </c>
      <c r="B99">
        <v>8.23</v>
      </c>
      <c r="C99">
        <v>0.3</v>
      </c>
      <c r="D99">
        <v>11061000</v>
      </c>
      <c r="E99">
        <v>2.9079999999999999</v>
      </c>
      <c r="F99" s="1">
        <v>45137</v>
      </c>
      <c r="G99" s="2">
        <v>0.7416666666666667</v>
      </c>
    </row>
    <row r="100" spans="1:7" x14ac:dyDescent="0.35">
      <c r="A100" t="s">
        <v>103</v>
      </c>
      <c r="B100">
        <v>24.67</v>
      </c>
      <c r="C100">
        <v>-0.36</v>
      </c>
      <c r="D100">
        <v>11030000</v>
      </c>
      <c r="E100">
        <v>5.5869999999999997</v>
      </c>
      <c r="F100" s="1">
        <v>45137</v>
      </c>
      <c r="G100" s="2">
        <v>0.7416666666666667</v>
      </c>
    </row>
    <row r="101" spans="1:7" x14ac:dyDescent="0.35">
      <c r="A101" t="s">
        <v>104</v>
      </c>
      <c r="B101">
        <v>34.17</v>
      </c>
      <c r="C101">
        <v>-1.62</v>
      </c>
      <c r="D101">
        <v>10988000</v>
      </c>
      <c r="E101">
        <v>34.206000000000003</v>
      </c>
      <c r="F101" s="1">
        <v>45137</v>
      </c>
      <c r="G101" s="2">
        <v>0.7416666666666667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96A9C-D4B8-4851-832C-914FAE924C26}">
  <sheetPr codeName="Sheet3"/>
  <dimension ref="A1:I108"/>
  <sheetViews>
    <sheetView showGridLines="0" showRowColHeaders="0" zoomScale="78" zoomScaleNormal="78" workbookViewId="0">
      <selection activeCell="C4" sqref="C4"/>
    </sheetView>
  </sheetViews>
  <sheetFormatPr defaultRowHeight="14.5" x14ac:dyDescent="0.35"/>
  <cols>
    <col min="1" max="1" width="31.453125" bestFit="1" customWidth="1"/>
    <col min="2" max="2" width="18.36328125" customWidth="1"/>
    <col min="3" max="3" width="12.90625" bestFit="1" customWidth="1"/>
    <col min="4" max="4" width="10" bestFit="1" customWidth="1"/>
    <col min="5" max="5" width="31.453125" bestFit="1" customWidth="1"/>
    <col min="6" max="6" width="13.6328125" bestFit="1" customWidth="1"/>
    <col min="7" max="7" width="17.90625" bestFit="1" customWidth="1"/>
    <col min="8" max="8" width="26.6328125" bestFit="1" customWidth="1"/>
    <col min="9" max="9" width="11.90625" bestFit="1" customWidth="1"/>
    <col min="10" max="10" width="15.81640625" bestFit="1" customWidth="1"/>
    <col min="11" max="11" width="29.6328125" bestFit="1" customWidth="1"/>
    <col min="12" max="12" width="24.81640625" bestFit="1" customWidth="1"/>
    <col min="13" max="13" width="9.08984375" bestFit="1" customWidth="1"/>
    <col min="14" max="14" width="8.90625" bestFit="1" customWidth="1"/>
    <col min="15" max="15" width="11.54296875" bestFit="1" customWidth="1"/>
    <col min="16" max="16" width="17.81640625" bestFit="1" customWidth="1"/>
    <col min="17" max="17" width="25.453125" bestFit="1" customWidth="1"/>
    <col min="18" max="18" width="21.90625" bestFit="1" customWidth="1"/>
    <col min="19" max="19" width="9.1796875" bestFit="1" customWidth="1"/>
    <col min="20" max="20" width="26.90625" bestFit="1" customWidth="1"/>
    <col min="21" max="21" width="8.90625" bestFit="1" customWidth="1"/>
    <col min="22" max="22" width="23.1796875" bestFit="1" customWidth="1"/>
    <col min="23" max="23" width="10.81640625" bestFit="1" customWidth="1"/>
    <col min="24" max="24" width="23" bestFit="1" customWidth="1"/>
    <col min="25" max="25" width="16.453125" bestFit="1" customWidth="1"/>
    <col min="26" max="26" width="11.90625" bestFit="1" customWidth="1"/>
    <col min="27" max="27" width="17.08984375" bestFit="1" customWidth="1"/>
    <col min="28" max="28" width="18.81640625" bestFit="1" customWidth="1"/>
    <col min="29" max="29" width="12.1796875" bestFit="1" customWidth="1"/>
    <col min="30" max="30" width="14.6328125" bestFit="1" customWidth="1"/>
    <col min="31" max="31" width="13.6328125" bestFit="1" customWidth="1"/>
    <col min="32" max="32" width="23.453125" bestFit="1" customWidth="1"/>
    <col min="33" max="33" width="18.1796875" bestFit="1" customWidth="1"/>
    <col min="34" max="34" width="29.54296875" bestFit="1" customWidth="1"/>
    <col min="35" max="35" width="22" bestFit="1" customWidth="1"/>
    <col min="36" max="36" width="14.453125" bestFit="1" customWidth="1"/>
    <col min="37" max="37" width="13.1796875" bestFit="1" customWidth="1"/>
    <col min="38" max="38" width="9.1796875" bestFit="1" customWidth="1"/>
    <col min="39" max="39" width="19" bestFit="1" customWidth="1"/>
    <col min="40" max="40" width="22.6328125" bestFit="1" customWidth="1"/>
    <col min="41" max="41" width="26.81640625" bestFit="1" customWidth="1"/>
    <col min="42" max="42" width="19.36328125" bestFit="1" customWidth="1"/>
    <col min="43" max="43" width="15.36328125" bestFit="1" customWidth="1"/>
    <col min="44" max="44" width="8.90625" bestFit="1" customWidth="1"/>
    <col min="45" max="45" width="8.7265625" bestFit="1" customWidth="1"/>
    <col min="46" max="46" width="23.26953125" bestFit="1" customWidth="1"/>
    <col min="47" max="47" width="10.81640625" bestFit="1" customWidth="1"/>
    <col min="48" max="48" width="17.1796875" bestFit="1" customWidth="1"/>
    <col min="49" max="49" width="19.6328125" bestFit="1" customWidth="1"/>
    <col min="50" max="50" width="14.08984375" bestFit="1" customWidth="1"/>
    <col min="51" max="51" width="10.453125" bestFit="1" customWidth="1"/>
    <col min="52" max="52" width="18.6328125" bestFit="1" customWidth="1"/>
    <col min="53" max="53" width="7.81640625" bestFit="1" customWidth="1"/>
    <col min="54" max="54" width="10.08984375" bestFit="1" customWidth="1"/>
    <col min="55" max="55" width="27.1796875" bestFit="1" customWidth="1"/>
    <col min="56" max="56" width="14.90625" bestFit="1" customWidth="1"/>
    <col min="57" max="57" width="15.26953125" bestFit="1" customWidth="1"/>
    <col min="58" max="58" width="7.90625" bestFit="1" customWidth="1"/>
    <col min="59" max="59" width="27" bestFit="1" customWidth="1"/>
    <col min="60" max="60" width="18.08984375" bestFit="1" customWidth="1"/>
    <col min="61" max="61" width="20.81640625" bestFit="1" customWidth="1"/>
    <col min="62" max="62" width="19.7265625" bestFit="1" customWidth="1"/>
    <col min="63" max="63" width="30.81640625" bestFit="1" customWidth="1"/>
    <col min="64" max="64" width="7.453125" bestFit="1" customWidth="1"/>
    <col min="65" max="65" width="8.90625" bestFit="1" customWidth="1"/>
    <col min="66" max="66" width="31" bestFit="1" customWidth="1"/>
    <col min="67" max="67" width="14.54296875" bestFit="1" customWidth="1"/>
    <col min="68" max="68" width="17.6328125" bestFit="1" customWidth="1"/>
    <col min="69" max="69" width="24.36328125" bestFit="1" customWidth="1"/>
    <col min="70" max="70" width="22.36328125" bestFit="1" customWidth="1"/>
    <col min="71" max="71" width="15.6328125" bestFit="1" customWidth="1"/>
    <col min="72" max="72" width="9" bestFit="1" customWidth="1"/>
    <col min="73" max="73" width="16.36328125" bestFit="1" customWidth="1"/>
    <col min="74" max="74" width="13.7265625" bestFit="1" customWidth="1"/>
    <col min="75" max="75" width="23.08984375" bestFit="1" customWidth="1"/>
    <col min="76" max="76" width="24.54296875" bestFit="1" customWidth="1"/>
    <col min="77" max="77" width="24.08984375" bestFit="1" customWidth="1"/>
    <col min="78" max="78" width="17" bestFit="1" customWidth="1"/>
    <col min="79" max="79" width="20.36328125" bestFit="1" customWidth="1"/>
    <col min="80" max="80" width="17.36328125" bestFit="1" customWidth="1"/>
    <col min="81" max="81" width="9.08984375" bestFit="1" customWidth="1"/>
    <col min="82" max="82" width="14.7265625" bestFit="1" customWidth="1"/>
    <col min="83" max="83" width="19.81640625" bestFit="1" customWidth="1"/>
    <col min="84" max="84" width="8.36328125" bestFit="1" customWidth="1"/>
    <col min="85" max="85" width="19.6328125" bestFit="1" customWidth="1"/>
    <col min="86" max="86" width="19.7265625" bestFit="1" customWidth="1"/>
    <col min="87" max="87" width="27.36328125" bestFit="1" customWidth="1"/>
    <col min="88" max="88" width="18.54296875" bestFit="1" customWidth="1"/>
    <col min="89" max="89" width="19.81640625" bestFit="1" customWidth="1"/>
    <col min="90" max="90" width="31.81640625" bestFit="1" customWidth="1"/>
    <col min="91" max="91" width="9.08984375" bestFit="1" customWidth="1"/>
    <col min="92" max="92" width="23" bestFit="1" customWidth="1"/>
    <col min="93" max="93" width="24.26953125" bestFit="1" customWidth="1"/>
    <col min="94" max="94" width="11.453125" bestFit="1" customWidth="1"/>
    <col min="95" max="95" width="20.36328125" bestFit="1" customWidth="1"/>
    <col min="96" max="96" width="27.6328125" bestFit="1" customWidth="1"/>
    <col min="97" max="97" width="19" bestFit="1" customWidth="1"/>
    <col min="98" max="98" width="8.08984375" bestFit="1" customWidth="1"/>
    <col min="99" max="99" width="25.54296875" bestFit="1" customWidth="1"/>
    <col min="100" max="100" width="26.1796875" bestFit="1" customWidth="1"/>
    <col min="101" max="101" width="24.6328125" bestFit="1" customWidth="1"/>
    <col min="102" max="102" width="20.90625" bestFit="1" customWidth="1"/>
    <col min="103" max="103" width="9.453125" bestFit="1" customWidth="1"/>
    <col min="104" max="104" width="10.7265625" bestFit="1" customWidth="1"/>
  </cols>
  <sheetData>
    <row r="1" spans="1:9" x14ac:dyDescent="0.35">
      <c r="A1" s="21" t="s">
        <v>105</v>
      </c>
      <c r="B1" s="22"/>
      <c r="C1" s="23"/>
      <c r="D1" s="20" t="s">
        <v>106</v>
      </c>
    </row>
    <row r="2" spans="1:9" x14ac:dyDescent="0.35">
      <c r="A2" s="24"/>
      <c r="B2" s="24"/>
      <c r="C2" s="25"/>
      <c r="D2" s="19">
        <f>Stock_Market[[#This Row],[Date]]</f>
        <v>45137</v>
      </c>
    </row>
    <row r="3" spans="1:9" x14ac:dyDescent="0.35">
      <c r="E3" s="14" t="s">
        <v>109</v>
      </c>
      <c r="F3" s="15" t="s">
        <v>1</v>
      </c>
      <c r="G3" s="16" t="s">
        <v>2</v>
      </c>
      <c r="H3" s="16" t="s">
        <v>3</v>
      </c>
      <c r="I3" s="17" t="s">
        <v>4</v>
      </c>
    </row>
    <row r="4" spans="1:9" x14ac:dyDescent="0.35">
      <c r="A4" s="4" t="s">
        <v>110</v>
      </c>
      <c r="B4" t="s">
        <v>114</v>
      </c>
      <c r="C4" t="s">
        <v>115</v>
      </c>
      <c r="E4" s="7" t="s">
        <v>9</v>
      </c>
      <c r="F4" s="3">
        <v>13.26</v>
      </c>
      <c r="G4" s="3">
        <v>-0.47</v>
      </c>
      <c r="H4" s="3">
        <v>116697000</v>
      </c>
      <c r="I4" s="8">
        <v>53.05</v>
      </c>
    </row>
    <row r="5" spans="1:9" x14ac:dyDescent="0.35">
      <c r="A5" s="5" t="s">
        <v>17</v>
      </c>
      <c r="B5" s="13">
        <v>2.1084776552859657E-2</v>
      </c>
      <c r="C5" s="13">
        <v>2.6572099018486214E-2</v>
      </c>
      <c r="E5" s="7" t="s">
        <v>12</v>
      </c>
      <c r="F5" s="3">
        <v>14.74</v>
      </c>
      <c r="G5" s="3">
        <v>1.5</v>
      </c>
      <c r="H5" s="3">
        <v>115316000</v>
      </c>
      <c r="I5" s="8">
        <v>26.216999999999999</v>
      </c>
    </row>
    <row r="6" spans="1:9" x14ac:dyDescent="0.35">
      <c r="A6" s="5" t="s">
        <v>27</v>
      </c>
      <c r="B6" s="13">
        <v>4.5499008150481643E-3</v>
      </c>
      <c r="C6" s="13">
        <v>7.4586400442201251E-4</v>
      </c>
      <c r="E6" s="9" t="s">
        <v>7</v>
      </c>
      <c r="F6" s="10">
        <v>266.44</v>
      </c>
      <c r="G6" s="10">
        <v>10.73</v>
      </c>
      <c r="H6" s="10">
        <v>111446000</v>
      </c>
      <c r="I6" s="11">
        <v>844.48199999999997</v>
      </c>
    </row>
    <row r="7" spans="1:9" ht="15" thickBot="1" x14ac:dyDescent="0.4">
      <c r="A7" s="5" t="s">
        <v>57</v>
      </c>
      <c r="B7" s="13">
        <v>1.2134967480094658E-2</v>
      </c>
      <c r="C7" s="13">
        <v>3.763779348127131E-2</v>
      </c>
      <c r="E7" s="18" t="s">
        <v>113</v>
      </c>
    </row>
    <row r="8" spans="1:9" ht="15" thickBot="1" x14ac:dyDescent="0.4">
      <c r="A8" s="5" t="s">
        <v>39</v>
      </c>
      <c r="B8" s="13">
        <v>2.4136270706567473E-2</v>
      </c>
      <c r="C8" s="13">
        <v>4.925682379379213E-4</v>
      </c>
      <c r="E8" s="12"/>
    </row>
    <row r="9" spans="1:9" x14ac:dyDescent="0.35">
      <c r="A9" s="5" t="s">
        <v>22</v>
      </c>
      <c r="B9" s="13">
        <v>1.7587861463076768E-2</v>
      </c>
      <c r="C9" s="13">
        <v>1.9822511829233665E-4</v>
      </c>
      <c r="E9" t="str" cm="1">
        <f t="array" ref="E9:I108">_xlfn._xlws.FILTER(Stock_Market[[Name]:[Market Cap]], ISNUMBER(SEARCH(E8,Stock_Market[Name])),"No Results")</f>
        <v>Ford Motor Company</v>
      </c>
      <c r="F9">
        <v>13.26</v>
      </c>
      <c r="G9">
        <v>-0.47</v>
      </c>
      <c r="H9">
        <v>116697000</v>
      </c>
      <c r="I9">
        <v>53.05</v>
      </c>
    </row>
    <row r="10" spans="1:9" x14ac:dyDescent="0.35">
      <c r="A10" s="5" t="s">
        <v>38</v>
      </c>
      <c r="B10" s="13">
        <v>1.4746356889632817E-2</v>
      </c>
      <c r="C10" s="13">
        <v>1.2417919901276007E-3</v>
      </c>
      <c r="E10" t="str">
        <v>NIO Inc.</v>
      </c>
      <c r="F10">
        <v>14.74</v>
      </c>
      <c r="G10">
        <v>1.5</v>
      </c>
      <c r="H10">
        <v>115316000</v>
      </c>
      <c r="I10">
        <v>26.216999999999999</v>
      </c>
    </row>
    <row r="11" spans="1:9" x14ac:dyDescent="0.35">
      <c r="A11" s="5" t="s">
        <v>29</v>
      </c>
      <c r="B11" s="13">
        <v>7.0583839384172333E-3</v>
      </c>
      <c r="C11" s="13">
        <v>1.6024536091871285E-3</v>
      </c>
      <c r="E11" t="str">
        <v>Tesla, Inc.</v>
      </c>
      <c r="F11">
        <v>266.44</v>
      </c>
      <c r="G11">
        <v>10.73</v>
      </c>
      <c r="H11">
        <v>111446000</v>
      </c>
      <c r="I11">
        <v>844.48199999999997</v>
      </c>
    </row>
    <row r="12" spans="1:9" x14ac:dyDescent="0.35">
      <c r="A12" s="5" t="s">
        <v>19</v>
      </c>
      <c r="B12" s="13">
        <v>1.8337444521740187E-2</v>
      </c>
      <c r="C12" s="13">
        <v>4.499140488875438E-4</v>
      </c>
      <c r="E12" t="str">
        <v>Palantir Technologies Inc.</v>
      </c>
      <c r="F12">
        <v>17.809999999999999</v>
      </c>
      <c r="G12">
        <v>1.66</v>
      </c>
      <c r="H12">
        <v>106126000</v>
      </c>
      <c r="I12">
        <v>37.728999999999999</v>
      </c>
    </row>
    <row r="13" spans="1:9" x14ac:dyDescent="0.35">
      <c r="A13" s="5" t="s">
        <v>25</v>
      </c>
      <c r="B13" s="13">
        <v>1.9525993140593528E-2</v>
      </c>
      <c r="C13" s="13">
        <v>1.5090087984490238E-2</v>
      </c>
      <c r="E13" t="str">
        <v>Intel Corporation</v>
      </c>
      <c r="F13">
        <v>36.83</v>
      </c>
      <c r="G13">
        <v>2.2799999999999998</v>
      </c>
      <c r="H13">
        <v>90863000</v>
      </c>
      <c r="I13">
        <v>154.19900000000001</v>
      </c>
    </row>
    <row r="14" spans="1:9" x14ac:dyDescent="0.35">
      <c r="A14" s="5" t="s">
        <v>76</v>
      </c>
      <c r="B14" s="13">
        <v>8.7732355559065923E-3</v>
      </c>
      <c r="C14" s="13">
        <v>2.0985276708826149E-3</v>
      </c>
      <c r="E14" t="str">
        <v>Lucid Group, Inc.</v>
      </c>
      <c r="F14">
        <v>7.47</v>
      </c>
      <c r="G14">
        <v>0.57999999999999996</v>
      </c>
      <c r="H14">
        <v>68241000</v>
      </c>
      <c r="I14">
        <v>16.983000000000001</v>
      </c>
    </row>
    <row r="15" spans="1:9" x14ac:dyDescent="0.35">
      <c r="A15" s="5" t="s">
        <v>32</v>
      </c>
      <c r="B15" s="13">
        <v>1.0015325821807322E-2</v>
      </c>
      <c r="C15" s="13">
        <v>5.4170820093979461E-3</v>
      </c>
      <c r="E15" t="str">
        <v>Roku, Inc.</v>
      </c>
      <c r="F15">
        <v>89.61</v>
      </c>
      <c r="G15">
        <v>21.42</v>
      </c>
      <c r="H15">
        <v>61302000</v>
      </c>
      <c r="I15">
        <v>12.616</v>
      </c>
    </row>
    <row r="16" spans="1:9" x14ac:dyDescent="0.35">
      <c r="A16" s="5" t="s">
        <v>13</v>
      </c>
      <c r="B16" s="13">
        <v>1.2643802991041456E-2</v>
      </c>
      <c r="C16" s="13">
        <v>3.7062254081071014E-2</v>
      </c>
      <c r="E16" t="str">
        <v>XPeng Inc.</v>
      </c>
      <c r="F16">
        <v>23.39</v>
      </c>
      <c r="G16">
        <v>3.17</v>
      </c>
      <c r="H16">
        <v>59550000</v>
      </c>
      <c r="I16">
        <v>21.934000000000001</v>
      </c>
    </row>
    <row r="17" spans="1:9" x14ac:dyDescent="0.35">
      <c r="A17" s="5" t="s">
        <v>45</v>
      </c>
      <c r="B17" s="13">
        <v>4.2692818280409377E-3</v>
      </c>
      <c r="C17" s="13">
        <v>4.3542331068960735E-3</v>
      </c>
      <c r="E17" t="str">
        <v>SoFi Technologies, Inc.</v>
      </c>
      <c r="F17">
        <v>9.5500000000000007</v>
      </c>
      <c r="G17">
        <v>0.46</v>
      </c>
      <c r="H17">
        <v>58205000</v>
      </c>
      <c r="I17">
        <v>8.9860000000000007</v>
      </c>
    </row>
    <row r="18" spans="1:9" x14ac:dyDescent="0.35">
      <c r="A18" s="5" t="s">
        <v>80</v>
      </c>
      <c r="B18" s="13">
        <v>6.8704185817615128E-3</v>
      </c>
      <c r="C18" s="13">
        <v>1.1554610800975557E-3</v>
      </c>
      <c r="E18" t="str">
        <v>Advanced Micro Devices, Inc.</v>
      </c>
      <c r="F18">
        <v>112.96</v>
      </c>
      <c r="G18">
        <v>1.86</v>
      </c>
      <c r="H18">
        <v>55526000</v>
      </c>
      <c r="I18">
        <v>181.90600000000001</v>
      </c>
    </row>
    <row r="19" spans="1:9" x14ac:dyDescent="0.35">
      <c r="A19" s="5" t="s">
        <v>100</v>
      </c>
      <c r="B19" s="13">
        <v>4.4029460816627829E-3</v>
      </c>
      <c r="C19" s="13">
        <v>1.8845701684782043E-2</v>
      </c>
      <c r="E19" t="str">
        <v>AT&amp;T Inc.</v>
      </c>
      <c r="F19">
        <v>14.45</v>
      </c>
      <c r="G19">
        <v>-0.06</v>
      </c>
      <c r="H19">
        <v>51421000</v>
      </c>
      <c r="I19">
        <v>103.303</v>
      </c>
    </row>
    <row r="20" spans="1:9" x14ac:dyDescent="0.35">
      <c r="A20" s="5" t="s">
        <v>24</v>
      </c>
      <c r="B20" s="13">
        <v>6.00881576509115E-3</v>
      </c>
      <c r="C20" s="13">
        <v>6.7151132556364903E-4</v>
      </c>
      <c r="E20" t="str">
        <v>Snap Inc.</v>
      </c>
      <c r="F20">
        <v>10.68</v>
      </c>
      <c r="G20">
        <v>0.35</v>
      </c>
      <c r="H20">
        <v>49135000</v>
      </c>
      <c r="I20">
        <v>17.106999999999999</v>
      </c>
    </row>
    <row r="21" spans="1:9" x14ac:dyDescent="0.35">
      <c r="A21" s="5" t="s">
        <v>10</v>
      </c>
      <c r="B21" s="13">
        <v>9.3063736584209997E-3</v>
      </c>
      <c r="C21" s="13">
        <v>3.527589080060161E-3</v>
      </c>
      <c r="E21" t="str">
        <v>Rivian Automotive, Inc.</v>
      </c>
      <c r="F21">
        <v>26.94</v>
      </c>
      <c r="G21">
        <v>0.89</v>
      </c>
      <c r="H21">
        <v>48754000</v>
      </c>
      <c r="I21">
        <v>25.306000000000001</v>
      </c>
    </row>
    <row r="22" spans="1:9" x14ac:dyDescent="0.35">
      <c r="A22" s="5" t="s">
        <v>54</v>
      </c>
      <c r="B22" s="13">
        <v>9.021957391481334E-3</v>
      </c>
      <c r="C22" s="13">
        <v>1.1420220890268886E-3</v>
      </c>
      <c r="E22" t="str">
        <v>Apple Inc.</v>
      </c>
      <c r="F22">
        <v>195.83</v>
      </c>
      <c r="G22">
        <v>2.61</v>
      </c>
      <c r="H22">
        <v>48291000</v>
      </c>
      <c r="I22">
        <v>3.08</v>
      </c>
    </row>
    <row r="23" spans="1:9" x14ac:dyDescent="0.35">
      <c r="A23" s="5" t="s">
        <v>53</v>
      </c>
      <c r="B23" s="13">
        <v>4.2001713332705517E-3</v>
      </c>
      <c r="C23" s="13">
        <v>4.2478897862499262E-4</v>
      </c>
      <c r="E23" t="str">
        <v>Amazon.com, Inc.</v>
      </c>
      <c r="F23">
        <v>132.21</v>
      </c>
      <c r="G23">
        <v>3.96</v>
      </c>
      <c r="H23">
        <v>46317000</v>
      </c>
      <c r="I23">
        <v>1.357</v>
      </c>
    </row>
    <row r="24" spans="1:9" x14ac:dyDescent="0.35">
      <c r="A24" s="5" t="s">
        <v>68</v>
      </c>
      <c r="B24" s="13">
        <v>1.0439861718253981E-2</v>
      </c>
      <c r="C24" s="13">
        <v>3.1007550375765885E-2</v>
      </c>
      <c r="E24" t="str">
        <v>QuantumScape Corporation</v>
      </c>
      <c r="F24">
        <v>13.27</v>
      </c>
      <c r="G24">
        <v>2.56</v>
      </c>
      <c r="H24">
        <v>43679000</v>
      </c>
      <c r="I24">
        <v>5.8869999999999996</v>
      </c>
    </row>
    <row r="25" spans="1:9" x14ac:dyDescent="0.35">
      <c r="A25" s="5" t="s">
        <v>49</v>
      </c>
      <c r="B25" s="13">
        <v>7.9291002269254486E-3</v>
      </c>
      <c r="C25" s="13">
        <v>1.3336299649768209E-2</v>
      </c>
      <c r="E25" t="str">
        <v>Meta Platforms, Inc.</v>
      </c>
      <c r="F25">
        <v>325.48</v>
      </c>
      <c r="G25">
        <v>13.77</v>
      </c>
      <c r="H25">
        <v>39220000</v>
      </c>
      <c r="I25">
        <v>834.11699999999996</v>
      </c>
    </row>
    <row r="26" spans="1:9" x14ac:dyDescent="0.35">
      <c r="A26" s="5" t="s">
        <v>85</v>
      </c>
      <c r="B26" s="13">
        <v>5.4164400956306976E-3</v>
      </c>
      <c r="C26" s="13">
        <v>2.7938493827997283E-3</v>
      </c>
      <c r="E26" t="str">
        <v>Alphabet Inc.</v>
      </c>
      <c r="F26">
        <v>132.58000000000001</v>
      </c>
      <c r="G26">
        <v>3.18</v>
      </c>
      <c r="H26">
        <v>36591000</v>
      </c>
      <c r="I26">
        <v>1.6859999999999999</v>
      </c>
    </row>
    <row r="27" spans="1:9" x14ac:dyDescent="0.35">
      <c r="A27" s="5" t="s">
        <v>77</v>
      </c>
      <c r="B27" s="13">
        <v>7.8485978923577455E-3</v>
      </c>
      <c r="C27" s="13">
        <v>2.7543504351311594E-2</v>
      </c>
      <c r="E27" t="str">
        <v>Bank of America Corporation</v>
      </c>
      <c r="F27">
        <v>31.9</v>
      </c>
      <c r="G27">
        <v>-0.05</v>
      </c>
      <c r="H27">
        <v>33297000</v>
      </c>
      <c r="I27">
        <v>253.71899999999999</v>
      </c>
    </row>
    <row r="28" spans="1:9" x14ac:dyDescent="0.35">
      <c r="A28" s="5" t="s">
        <v>90</v>
      </c>
      <c r="B28" s="13">
        <v>4.9535516718664085E-3</v>
      </c>
      <c r="C28" s="13">
        <v>4.6798364883799482E-3</v>
      </c>
      <c r="E28" t="str">
        <v>NVIDIA Corporation</v>
      </c>
      <c r="F28">
        <v>467.5</v>
      </c>
      <c r="G28">
        <v>8.5</v>
      </c>
      <c r="H28">
        <v>33119000</v>
      </c>
      <c r="I28">
        <v>1.155</v>
      </c>
    </row>
    <row r="29" spans="1:9" x14ac:dyDescent="0.35">
      <c r="A29" s="5" t="s">
        <v>66</v>
      </c>
      <c r="B29" s="13">
        <v>4.5620521108319691E-3</v>
      </c>
      <c r="C29" s="13">
        <v>9.9059971789804847E-3</v>
      </c>
      <c r="E29" t="str">
        <v>Alibaba Group Holding Limited</v>
      </c>
      <c r="F29">
        <v>100.55</v>
      </c>
      <c r="G29">
        <v>5.1100000000000003</v>
      </c>
      <c r="H29">
        <v>31957000</v>
      </c>
      <c r="I29">
        <v>257.65899999999999</v>
      </c>
    </row>
    <row r="30" spans="1:9" x14ac:dyDescent="0.35">
      <c r="A30" s="5" t="s">
        <v>74</v>
      </c>
      <c r="B30" s="13">
        <v>9.8968506879152322E-3</v>
      </c>
      <c r="C30" s="13">
        <v>2.7028440410929297E-3</v>
      </c>
      <c r="E30" t="str">
        <v>Vale S.A.</v>
      </c>
      <c r="F30">
        <v>14.24</v>
      </c>
      <c r="G30">
        <v>-0.55000000000000004</v>
      </c>
      <c r="H30">
        <v>31630000</v>
      </c>
      <c r="I30">
        <v>61.776000000000003</v>
      </c>
    </row>
    <row r="31" spans="1:9" x14ac:dyDescent="0.35">
      <c r="A31" s="5" t="s">
        <v>59</v>
      </c>
      <c r="B31" s="13">
        <v>5.3777078403198222E-3</v>
      </c>
      <c r="C31" s="13">
        <v>6.0679966203858984E-4</v>
      </c>
      <c r="E31" t="str">
        <v>Verizon Communications Inc.</v>
      </c>
      <c r="F31">
        <v>34.03</v>
      </c>
      <c r="G31">
        <v>0.48</v>
      </c>
      <c r="H31">
        <v>30651000</v>
      </c>
      <c r="I31">
        <v>143.06200000000001</v>
      </c>
    </row>
    <row r="32" spans="1:9" x14ac:dyDescent="0.35">
      <c r="A32" s="5" t="s">
        <v>83</v>
      </c>
      <c r="B32" s="13">
        <v>5.9454011902194221E-3</v>
      </c>
      <c r="C32" s="13">
        <v>3.0895071863543994E-3</v>
      </c>
      <c r="E32" t="str">
        <v>Microsoft Corporation</v>
      </c>
      <c r="F32">
        <v>338.37</v>
      </c>
      <c r="G32">
        <v>7.65</v>
      </c>
      <c r="H32">
        <v>28485000</v>
      </c>
      <c r="I32">
        <v>2.516</v>
      </c>
    </row>
    <row r="33" spans="1:9" x14ac:dyDescent="0.35">
      <c r="A33" s="5" t="s">
        <v>102</v>
      </c>
      <c r="B33" s="13">
        <v>4.2449792364733291E-3</v>
      </c>
      <c r="C33" s="13">
        <v>6.5369005479602542E-4</v>
      </c>
      <c r="E33" t="str">
        <v>Cisco Systems, Inc.</v>
      </c>
      <c r="F33">
        <v>52.09</v>
      </c>
      <c r="G33">
        <v>-0.91</v>
      </c>
      <c r="H33">
        <v>27493000</v>
      </c>
      <c r="I33">
        <v>212.27</v>
      </c>
    </row>
    <row r="34" spans="1:9" x14ac:dyDescent="0.35">
      <c r="A34" s="5" t="s">
        <v>48</v>
      </c>
      <c r="B34" s="13">
        <v>6.6725802972814512E-3</v>
      </c>
      <c r="C34" s="13">
        <v>6.1515082638109023E-2</v>
      </c>
      <c r="E34" t="str">
        <v>Alphabet Inc.</v>
      </c>
      <c r="F34">
        <v>133.01</v>
      </c>
      <c r="G34">
        <v>3.14</v>
      </c>
      <c r="H34">
        <v>26971000</v>
      </c>
      <c r="I34">
        <v>1.6859999999999999</v>
      </c>
    </row>
    <row r="35" spans="1:9" x14ac:dyDescent="0.35">
      <c r="A35" s="5" t="s">
        <v>52</v>
      </c>
      <c r="B35" s="13">
        <v>4.627365325669916E-3</v>
      </c>
      <c r="C35" s="13">
        <v>3.2238970970610684E-4</v>
      </c>
      <c r="E35" t="str">
        <v>Banco Bradesco S.A.</v>
      </c>
      <c r="F35">
        <v>3.49</v>
      </c>
      <c r="G35">
        <v>0.06</v>
      </c>
      <c r="H35">
        <v>26375000</v>
      </c>
      <c r="I35">
        <v>37.084000000000003</v>
      </c>
    </row>
    <row r="36" spans="1:9" x14ac:dyDescent="0.35">
      <c r="A36" s="5" t="s">
        <v>101</v>
      </c>
      <c r="B36" s="13">
        <v>4.3144694592369597E-3</v>
      </c>
      <c r="C36" s="13">
        <v>3.2520897631114895E-3</v>
      </c>
      <c r="E36" t="str">
        <v>iQIYI, Inc.</v>
      </c>
      <c r="F36">
        <v>6.32</v>
      </c>
      <c r="G36">
        <v>0.74</v>
      </c>
      <c r="H36">
        <v>26298000</v>
      </c>
      <c r="I36">
        <v>6.0460000000000003</v>
      </c>
    </row>
    <row r="37" spans="1:9" x14ac:dyDescent="0.35">
      <c r="A37" s="5" t="s">
        <v>95</v>
      </c>
      <c r="B37" s="13">
        <v>4.5362306072913852E-3</v>
      </c>
      <c r="C37" s="13">
        <v>2.9521957558497594E-4</v>
      </c>
      <c r="E37" t="str">
        <v>DiDi Global Inc.</v>
      </c>
      <c r="F37">
        <v>3.86</v>
      </c>
      <c r="G37">
        <v>0.41</v>
      </c>
      <c r="H37">
        <v>26063000</v>
      </c>
      <c r="I37">
        <v>18.503</v>
      </c>
    </row>
    <row r="38" spans="1:9" x14ac:dyDescent="0.35">
      <c r="A38" s="5" t="s">
        <v>9</v>
      </c>
      <c r="B38" s="13">
        <v>4.4313117627581014E-2</v>
      </c>
      <c r="C38" s="13">
        <v>7.7493312641182454E-3</v>
      </c>
      <c r="E38" t="str">
        <v>TAL Education Group</v>
      </c>
      <c r="F38">
        <v>8</v>
      </c>
      <c r="G38">
        <v>1.57</v>
      </c>
      <c r="H38">
        <v>25690000</v>
      </c>
      <c r="I38">
        <v>5.1079999999999997</v>
      </c>
    </row>
    <row r="39" spans="1:9" x14ac:dyDescent="0.35">
      <c r="A39" s="5" t="s">
        <v>69</v>
      </c>
      <c r="B39" s="13">
        <v>6.6387845058827463E-3</v>
      </c>
      <c r="C39" s="13">
        <v>7.7265434096940718E-3</v>
      </c>
      <c r="E39" t="str">
        <v>Opendoor Technologies Inc.</v>
      </c>
      <c r="F39">
        <v>4.84</v>
      </c>
      <c r="G39">
        <v>0.59</v>
      </c>
      <c r="H39">
        <v>24979000</v>
      </c>
      <c r="I39">
        <v>3.14</v>
      </c>
    </row>
    <row r="40" spans="1:9" x14ac:dyDescent="0.35">
      <c r="A40" s="5" t="s">
        <v>51</v>
      </c>
      <c r="B40" s="13">
        <v>7.9017598114118886E-3</v>
      </c>
      <c r="C40" s="13">
        <v>7.4338071259373714E-4</v>
      </c>
      <c r="E40" t="str">
        <v>AMC Entertainment Holdings, Inc.</v>
      </c>
      <c r="F40">
        <v>4.6399999999999997</v>
      </c>
      <c r="G40">
        <v>0.12</v>
      </c>
      <c r="H40">
        <v>24813000</v>
      </c>
      <c r="I40">
        <v>4.0060000000000002</v>
      </c>
    </row>
    <row r="41" spans="1:9" x14ac:dyDescent="0.35">
      <c r="A41" s="5" t="s">
        <v>67</v>
      </c>
      <c r="B41" s="13">
        <v>6.8647226618628546E-3</v>
      </c>
      <c r="C41" s="13">
        <v>2.1349005923673547E-3</v>
      </c>
      <c r="E41" t="str">
        <v>Carnival Corporation &amp; plc</v>
      </c>
      <c r="F41">
        <v>18.489999999999998</v>
      </c>
      <c r="G41">
        <v>0.27</v>
      </c>
      <c r="H41">
        <v>24508000</v>
      </c>
      <c r="I41">
        <v>24.149000000000001</v>
      </c>
    </row>
    <row r="42" spans="1:9" x14ac:dyDescent="0.35">
      <c r="A42" s="5" t="s">
        <v>18</v>
      </c>
      <c r="B42" s="13">
        <v>3.4503224650118625E-2</v>
      </c>
      <c r="C42" s="13">
        <v>2.2524771566367004E-2</v>
      </c>
      <c r="E42" t="str">
        <v>Pfizer Inc.</v>
      </c>
      <c r="F42">
        <v>36.07</v>
      </c>
      <c r="G42">
        <v>-0.13</v>
      </c>
      <c r="H42">
        <v>24054000</v>
      </c>
      <c r="I42">
        <v>203.626</v>
      </c>
    </row>
    <row r="43" spans="1:9" x14ac:dyDescent="0.35">
      <c r="A43" s="5" t="s">
        <v>65</v>
      </c>
      <c r="B43" s="13">
        <v>5.6271891318810507E-3</v>
      </c>
      <c r="C43" s="13">
        <v>5.2645786759438569E-4</v>
      </c>
      <c r="E43" t="str">
        <v>Carvana Co.</v>
      </c>
      <c r="F43">
        <v>44.02</v>
      </c>
      <c r="G43">
        <v>3.56</v>
      </c>
      <c r="H43">
        <v>23759000</v>
      </c>
      <c r="I43">
        <v>7.8179999999999996</v>
      </c>
    </row>
    <row r="44" spans="1:9" x14ac:dyDescent="0.35">
      <c r="A44" s="5" t="s">
        <v>60</v>
      </c>
      <c r="B44" s="13">
        <v>9.9860867663275447E-3</v>
      </c>
      <c r="C44" s="13">
        <v>8.8317543492665257E-4</v>
      </c>
      <c r="E44" t="str">
        <v>Avantor, Inc.</v>
      </c>
      <c r="F44">
        <v>21.28</v>
      </c>
      <c r="G44">
        <v>-1.55</v>
      </c>
      <c r="H44">
        <v>23104000</v>
      </c>
      <c r="I44">
        <v>14.366</v>
      </c>
    </row>
    <row r="45" spans="1:9" x14ac:dyDescent="0.35">
      <c r="A45" s="5" t="s">
        <v>47</v>
      </c>
      <c r="B45" s="13">
        <v>5.13961838855591E-3</v>
      </c>
      <c r="C45" s="13">
        <v>8.5892682060349258E-3</v>
      </c>
      <c r="E45" t="str">
        <v>Marathon Digital Holdings, Inc.</v>
      </c>
      <c r="F45">
        <v>16.7</v>
      </c>
      <c r="G45">
        <v>0.73</v>
      </c>
      <c r="H45">
        <v>21421000</v>
      </c>
      <c r="I45">
        <v>2.8380000000000001</v>
      </c>
    </row>
    <row r="46" spans="1:9" x14ac:dyDescent="0.35">
      <c r="A46" s="5" t="s">
        <v>81</v>
      </c>
      <c r="B46" s="13">
        <v>6.4527177891932448E-3</v>
      </c>
      <c r="C46" s="13">
        <v>9.3008043528307795E-3</v>
      </c>
      <c r="E46" t="str">
        <v>Citigroup Inc.</v>
      </c>
      <c r="F46">
        <v>47.41</v>
      </c>
      <c r="G46">
        <v>-0.47</v>
      </c>
      <c r="H46">
        <v>20881000</v>
      </c>
      <c r="I46">
        <v>91.296999999999997</v>
      </c>
    </row>
    <row r="47" spans="1:9" x14ac:dyDescent="0.35">
      <c r="A47" s="5" t="s">
        <v>86</v>
      </c>
      <c r="B47" s="13">
        <v>5.3689740964752127E-3</v>
      </c>
      <c r="C47" s="13">
        <v>6.6234651795741367E-2</v>
      </c>
      <c r="E47" t="str">
        <v>Ginkgo Bioworks Holdings, Inc.</v>
      </c>
      <c r="F47">
        <v>2.44</v>
      </c>
      <c r="G47">
        <v>0.2</v>
      </c>
      <c r="H47">
        <v>20809000</v>
      </c>
      <c r="I47">
        <v>5.0890000000000004</v>
      </c>
    </row>
    <row r="48" spans="1:9" x14ac:dyDescent="0.35">
      <c r="A48" s="5" t="s">
        <v>84</v>
      </c>
      <c r="B48" s="13">
        <v>5.7259184101244595E-3</v>
      </c>
      <c r="C48" s="13">
        <v>1.2980312462385435E-3</v>
      </c>
      <c r="E48" t="str">
        <v>Comcast Corporation</v>
      </c>
      <c r="F48">
        <v>45.23</v>
      </c>
      <c r="G48">
        <v>-0.12</v>
      </c>
      <c r="H48">
        <v>20669000</v>
      </c>
      <c r="I48">
        <v>188.55600000000001</v>
      </c>
    </row>
    <row r="49" spans="1:9" x14ac:dyDescent="0.35">
      <c r="A49" s="5" t="s">
        <v>88</v>
      </c>
      <c r="B49" s="13">
        <v>5.076583541677426E-3</v>
      </c>
      <c r="C49" s="13">
        <v>3.2998566118083161E-3</v>
      </c>
      <c r="E49" t="str">
        <v>Nu Holdings Ltd.</v>
      </c>
      <c r="F49">
        <v>7.9</v>
      </c>
      <c r="G49">
        <v>0.12</v>
      </c>
      <c r="H49">
        <v>20603000</v>
      </c>
      <c r="I49">
        <v>37.088999999999999</v>
      </c>
    </row>
    <row r="50" spans="1:9" x14ac:dyDescent="0.35">
      <c r="A50" s="5" t="s">
        <v>89</v>
      </c>
      <c r="B50" s="13">
        <v>5.0192446146976001E-3</v>
      </c>
      <c r="C50" s="13">
        <v>6.8251084760300998E-3</v>
      </c>
      <c r="E50" t="str">
        <v>RLX Technology Inc.</v>
      </c>
      <c r="F50">
        <v>1.7</v>
      </c>
      <c r="G50">
        <v>0.17</v>
      </c>
      <c r="H50">
        <v>20147000</v>
      </c>
      <c r="I50">
        <v>2.67</v>
      </c>
    </row>
    <row r="51" spans="1:9" x14ac:dyDescent="0.35">
      <c r="A51" s="5" t="s">
        <v>43</v>
      </c>
      <c r="B51" s="13">
        <v>5.5592178210903962E-3</v>
      </c>
      <c r="C51" s="13">
        <v>6.9555543350095081E-3</v>
      </c>
      <c r="E51" t="str">
        <v>Sirius XM Holdings Inc.</v>
      </c>
      <c r="F51">
        <v>5.1100000000000003</v>
      </c>
      <c r="G51">
        <v>0.3</v>
      </c>
      <c r="H51">
        <v>19854000</v>
      </c>
      <c r="I51">
        <v>19.768000000000001</v>
      </c>
    </row>
    <row r="52" spans="1:9" x14ac:dyDescent="0.35">
      <c r="A52" s="5" t="s">
        <v>35</v>
      </c>
      <c r="B52" s="13">
        <v>5.6435174355905374E-3</v>
      </c>
      <c r="C52" s="13">
        <v>1.7181457931867824E-3</v>
      </c>
      <c r="E52" t="str">
        <v>Lufax Holding Ltd</v>
      </c>
      <c r="F52">
        <v>1.82</v>
      </c>
      <c r="G52">
        <v>0.06</v>
      </c>
      <c r="H52">
        <v>19849000</v>
      </c>
      <c r="I52">
        <v>8.0730000000000004</v>
      </c>
    </row>
    <row r="53" spans="1:9" x14ac:dyDescent="0.35">
      <c r="A53" s="5" t="s">
        <v>87</v>
      </c>
      <c r="B53" s="13">
        <v>5.1327832846775195E-3</v>
      </c>
      <c r="C53" s="13">
        <v>6.1762389289007269E-3</v>
      </c>
      <c r="E53" t="str">
        <v>Southwestern Energy Company</v>
      </c>
      <c r="F53">
        <v>6.44</v>
      </c>
      <c r="G53">
        <v>0.19</v>
      </c>
      <c r="H53">
        <v>18646000</v>
      </c>
      <c r="I53">
        <v>7.0919999999999996</v>
      </c>
    </row>
    <row r="54" spans="1:9" x14ac:dyDescent="0.35">
      <c r="A54" s="5" t="s">
        <v>92</v>
      </c>
      <c r="B54" s="13">
        <v>4.7739403310620536E-3</v>
      </c>
      <c r="C54" s="13">
        <v>3.1061598492028346E-3</v>
      </c>
      <c r="E54" t="str">
        <v>American Airlines Group Inc.</v>
      </c>
      <c r="F54">
        <v>16.79</v>
      </c>
      <c r="G54">
        <v>0.22</v>
      </c>
      <c r="H54">
        <v>18588000</v>
      </c>
      <c r="I54">
        <v>10.97</v>
      </c>
    </row>
    <row r="55" spans="1:9" x14ac:dyDescent="0.35">
      <c r="A55" s="5" t="s">
        <v>16</v>
      </c>
      <c r="B55" s="13">
        <v>2.5913017986955583E-2</v>
      </c>
      <c r="C55" s="13">
        <v>2.4808085364471286E-3</v>
      </c>
      <c r="E55" t="str">
        <v>Bilibili Inc.</v>
      </c>
      <c r="F55">
        <v>18.670000000000002</v>
      </c>
      <c r="G55">
        <v>2.4700000000000002</v>
      </c>
      <c r="H55">
        <v>18093000</v>
      </c>
      <c r="I55">
        <v>7.91</v>
      </c>
    </row>
    <row r="56" spans="1:9" x14ac:dyDescent="0.35">
      <c r="A56" s="5" t="s">
        <v>79</v>
      </c>
      <c r="B56" s="13">
        <v>7.5372209378977654E-3</v>
      </c>
      <c r="C56" s="13">
        <v>1.1792714664510199E-3</v>
      </c>
      <c r="E56" t="str">
        <v>Grab Holdings Limited</v>
      </c>
      <c r="F56">
        <v>3.76</v>
      </c>
      <c r="G56">
        <v>0.15</v>
      </c>
      <c r="H56">
        <v>18078000</v>
      </c>
      <c r="I56">
        <v>14.615</v>
      </c>
    </row>
    <row r="57" spans="1:9" x14ac:dyDescent="0.35">
      <c r="A57" s="5" t="s">
        <v>41</v>
      </c>
      <c r="B57" s="13">
        <v>5.9560335740302508E-3</v>
      </c>
      <c r="C57" s="13">
        <v>6.8933259633127252E-4</v>
      </c>
      <c r="E57" t="str">
        <v>Exxon Mobil Corporation</v>
      </c>
      <c r="F57">
        <v>104.16</v>
      </c>
      <c r="G57">
        <v>-1.26</v>
      </c>
      <c r="H57">
        <v>17572000</v>
      </c>
      <c r="I57">
        <v>421.11700000000002</v>
      </c>
    </row>
    <row r="58" spans="1:9" x14ac:dyDescent="0.35">
      <c r="A58" s="5" t="s">
        <v>14</v>
      </c>
      <c r="B58" s="13">
        <v>8.1341533432771444E-3</v>
      </c>
      <c r="C58" s="13">
        <v>4.1456365933209392E-4</v>
      </c>
      <c r="E58" t="str">
        <v>General Motors Company</v>
      </c>
      <c r="F58">
        <v>38.049999999999997</v>
      </c>
      <c r="G58">
        <v>-0.92</v>
      </c>
      <c r="H58">
        <v>17483000</v>
      </c>
      <c r="I58">
        <v>52.893999999999998</v>
      </c>
    </row>
    <row r="59" spans="1:9" x14ac:dyDescent="0.35">
      <c r="A59" s="5" t="s">
        <v>15</v>
      </c>
      <c r="B59" s="13">
        <v>1.4892931895024955E-2</v>
      </c>
      <c r="C59" s="13">
        <v>0.12184446646621147</v>
      </c>
      <c r="E59" t="str">
        <v>Uber Technologies, Inc.</v>
      </c>
      <c r="F59">
        <v>48.14</v>
      </c>
      <c r="G59">
        <v>1.53</v>
      </c>
      <c r="H59">
        <v>17155000</v>
      </c>
      <c r="I59">
        <v>97.427000000000007</v>
      </c>
    </row>
    <row r="60" spans="1:9" x14ac:dyDescent="0.35">
      <c r="A60" s="5" t="s">
        <v>46</v>
      </c>
      <c r="B60" s="13">
        <v>4.5324333273589461E-3</v>
      </c>
      <c r="C60" s="13">
        <v>1.1391736072238669E-2</v>
      </c>
      <c r="E60" t="str">
        <v>JD.com, Inc.</v>
      </c>
      <c r="F60">
        <v>40.53</v>
      </c>
      <c r="G60">
        <v>2.5499999999999998</v>
      </c>
      <c r="H60">
        <v>16993000</v>
      </c>
      <c r="I60">
        <v>63.670999999999999</v>
      </c>
    </row>
    <row r="61" spans="1:9" x14ac:dyDescent="0.35">
      <c r="A61" s="5" t="s">
        <v>28</v>
      </c>
      <c r="B61" s="13">
        <v>1.0816551887551909E-2</v>
      </c>
      <c r="C61" s="13">
        <v>3.6752719058475981E-4</v>
      </c>
      <c r="E61" t="str">
        <v>Riot Platforms, Inc.</v>
      </c>
      <c r="F61">
        <v>18.38</v>
      </c>
      <c r="G61">
        <v>0.78</v>
      </c>
      <c r="H61">
        <v>16692000</v>
      </c>
      <c r="I61">
        <v>3.2749999999999999</v>
      </c>
    </row>
    <row r="62" spans="1:9" x14ac:dyDescent="0.35">
      <c r="A62" s="5" t="s">
        <v>82</v>
      </c>
      <c r="B62" s="13">
        <v>6.1105828672805094E-3</v>
      </c>
      <c r="C62" s="13">
        <v>1.4408935643593287E-3</v>
      </c>
      <c r="E62" t="str">
        <v>Plug Power Inc.</v>
      </c>
      <c r="F62">
        <v>11.86</v>
      </c>
      <c r="G62">
        <v>0.21</v>
      </c>
      <c r="H62">
        <v>16564000</v>
      </c>
      <c r="I62">
        <v>7.1219999999999999</v>
      </c>
    </row>
    <row r="63" spans="1:9" x14ac:dyDescent="0.35">
      <c r="A63" s="5" t="s">
        <v>12</v>
      </c>
      <c r="B63" s="13">
        <v>4.3788713268911213E-2</v>
      </c>
      <c r="C63" s="13">
        <v>3.8296742271703684E-3</v>
      </c>
      <c r="E63" t="str">
        <v>Warner Bros. Discovery, Inc.</v>
      </c>
      <c r="F63">
        <v>12.79</v>
      </c>
      <c r="G63">
        <v>0.5</v>
      </c>
      <c r="H63">
        <v>16138000</v>
      </c>
      <c r="I63">
        <v>31.158000000000001</v>
      </c>
    </row>
    <row r="64" spans="1:9" x14ac:dyDescent="0.35">
      <c r="A64" s="5" t="s">
        <v>70</v>
      </c>
      <c r="B64" s="13">
        <v>4.5901519823320159E-3</v>
      </c>
      <c r="C64" s="13">
        <v>3.1879624035460246E-3</v>
      </c>
      <c r="E64" t="str">
        <v>New York Community Bancorp, Inc.</v>
      </c>
      <c r="F64">
        <v>13.66</v>
      </c>
      <c r="G64">
        <v>0.65</v>
      </c>
      <c r="H64">
        <v>16092000</v>
      </c>
      <c r="I64">
        <v>9.8640000000000008</v>
      </c>
    </row>
    <row r="65" spans="1:9" x14ac:dyDescent="0.35">
      <c r="A65" s="5" t="s">
        <v>55</v>
      </c>
      <c r="B65" s="13">
        <v>4.2662440040949863E-3</v>
      </c>
      <c r="C65" s="13">
        <v>1.3346963197030804E-3</v>
      </c>
      <c r="E65" t="str">
        <v>C3.ai, Inc.</v>
      </c>
      <c r="F65">
        <v>39.76</v>
      </c>
      <c r="G65">
        <v>1.55</v>
      </c>
      <c r="H65">
        <v>15824000</v>
      </c>
      <c r="I65">
        <v>4.5970000000000004</v>
      </c>
    </row>
    <row r="66" spans="1:9" x14ac:dyDescent="0.35">
      <c r="A66" s="5" t="s">
        <v>50</v>
      </c>
      <c r="B66" s="13">
        <v>7.8235358448036502E-3</v>
      </c>
      <c r="C66" s="13">
        <v>5.417812389347439E-3</v>
      </c>
      <c r="E66" t="str">
        <v>Lyft, Inc.</v>
      </c>
      <c r="F66">
        <v>12.48</v>
      </c>
      <c r="G66">
        <v>0.53</v>
      </c>
      <c r="H66">
        <v>15685000</v>
      </c>
      <c r="I66">
        <v>4.7190000000000003</v>
      </c>
    </row>
    <row r="67" spans="1:9" x14ac:dyDescent="0.35">
      <c r="A67" s="5" t="s">
        <v>26</v>
      </c>
      <c r="B67" s="13">
        <v>1.2576211408244047E-2</v>
      </c>
      <c r="C67" s="13">
        <v>1.6871776833282892E-4</v>
      </c>
      <c r="E67" t="str">
        <v>Enphase Energy, Inc.</v>
      </c>
      <c r="F67">
        <v>154.33000000000001</v>
      </c>
      <c r="G67">
        <v>-12.47</v>
      </c>
      <c r="H67">
        <v>15657000</v>
      </c>
      <c r="I67">
        <v>21.15</v>
      </c>
    </row>
    <row r="68" spans="1:9" x14ac:dyDescent="0.35">
      <c r="A68" s="5" t="s">
        <v>34</v>
      </c>
      <c r="B68" s="13">
        <v>9.485225543238867E-3</v>
      </c>
      <c r="C68" s="13">
        <v>4.5867860828145701E-4</v>
      </c>
      <c r="E68" t="str">
        <v>Juniper Networks, Inc.</v>
      </c>
      <c r="F68">
        <v>27.63</v>
      </c>
      <c r="G68">
        <v>-2.06</v>
      </c>
      <c r="H68">
        <v>15079000</v>
      </c>
      <c r="I68">
        <v>8.8859999999999992</v>
      </c>
    </row>
    <row r="69" spans="1:9" x14ac:dyDescent="0.35">
      <c r="A69" s="5" t="s">
        <v>11</v>
      </c>
      <c r="B69" s="13">
        <v>4.0299013010999959E-2</v>
      </c>
      <c r="C69" s="13">
        <v>5.5113010228825124E-3</v>
      </c>
      <c r="E69" t="str">
        <v>KeyCorp</v>
      </c>
      <c r="F69">
        <v>12.57</v>
      </c>
      <c r="G69">
        <v>0.31</v>
      </c>
      <c r="H69">
        <v>14862000</v>
      </c>
      <c r="I69">
        <v>11.762</v>
      </c>
    </row>
    <row r="70" spans="1:9" x14ac:dyDescent="0.35">
      <c r="A70" s="5" t="s">
        <v>98</v>
      </c>
      <c r="B70" s="13">
        <v>4.4371216010547325E-3</v>
      </c>
      <c r="C70" s="13">
        <v>1.7340680760857246E-2</v>
      </c>
      <c r="E70" t="str">
        <v>IonQ, Inc.</v>
      </c>
      <c r="F70">
        <v>17.93</v>
      </c>
      <c r="G70">
        <v>2.4</v>
      </c>
      <c r="H70">
        <v>14819000</v>
      </c>
      <c r="I70">
        <v>3.6040000000000001</v>
      </c>
    </row>
    <row r="71" spans="1:9" x14ac:dyDescent="0.35">
      <c r="A71" s="5" t="s">
        <v>30</v>
      </c>
      <c r="B71" s="13">
        <v>9.1339771494882791E-3</v>
      </c>
      <c r="C71" s="13">
        <v>2.9744869519082791E-2</v>
      </c>
      <c r="E71" t="str">
        <v>Keurig Dr Pepper Inc.</v>
      </c>
      <c r="F71">
        <v>33.92</v>
      </c>
      <c r="G71">
        <v>0.16</v>
      </c>
      <c r="H71">
        <v>14640000</v>
      </c>
      <c r="I71">
        <v>47.616</v>
      </c>
    </row>
    <row r="72" spans="1:9" x14ac:dyDescent="0.35">
      <c r="A72" s="5" t="s">
        <v>23</v>
      </c>
      <c r="B72" s="13">
        <v>4.5685074867171148E-3</v>
      </c>
      <c r="C72" s="13">
        <v>6.0513439575374641E-3</v>
      </c>
      <c r="E72" t="str">
        <v>CNH Industrial N.V.</v>
      </c>
      <c r="F72">
        <v>14.35</v>
      </c>
      <c r="G72">
        <v>-0.93</v>
      </c>
      <c r="H72">
        <v>14264000</v>
      </c>
      <c r="I72">
        <v>19.126000000000001</v>
      </c>
    </row>
    <row r="73" spans="1:9" x14ac:dyDescent="0.35">
      <c r="A73" s="5" t="s">
        <v>21</v>
      </c>
      <c r="B73" s="13">
        <v>6.2898144800916204E-3</v>
      </c>
      <c r="C73" s="13">
        <v>1.0403532000574957E-3</v>
      </c>
      <c r="E73" t="str">
        <v>DISH Network Corporation</v>
      </c>
      <c r="F73">
        <v>7.79</v>
      </c>
      <c r="G73">
        <v>0.81</v>
      </c>
      <c r="H73">
        <v>14162000</v>
      </c>
      <c r="I73">
        <v>4.1539999999999999</v>
      </c>
    </row>
    <row r="74" spans="1:9" x14ac:dyDescent="0.35">
      <c r="A74" s="5" t="s">
        <v>97</v>
      </c>
      <c r="B74" s="13">
        <v>4.4674998405142431E-3</v>
      </c>
      <c r="C74" s="13">
        <v>2.1070146858957212E-2</v>
      </c>
      <c r="E74" t="str">
        <v>Johnson &amp; Johnson</v>
      </c>
      <c r="F74">
        <v>174.48</v>
      </c>
      <c r="G74">
        <v>0.79</v>
      </c>
      <c r="H74">
        <v>14139000</v>
      </c>
      <c r="I74">
        <v>453.42599999999999</v>
      </c>
    </row>
    <row r="75" spans="1:9" x14ac:dyDescent="0.35">
      <c r="A75" s="5" t="s">
        <v>73</v>
      </c>
      <c r="B75" s="13">
        <v>1.6586139016899416E-2</v>
      </c>
      <c r="C75" s="13">
        <v>8.5994935253278252E-4</v>
      </c>
      <c r="E75" t="str">
        <v>AMC Entertainment Holdings, Inc.</v>
      </c>
      <c r="F75">
        <v>1.8</v>
      </c>
      <c r="G75">
        <v>-0.06</v>
      </c>
      <c r="H75">
        <v>14021000</v>
      </c>
      <c r="I75">
        <v>4.4950000000000001</v>
      </c>
    </row>
    <row r="76" spans="1:9" x14ac:dyDescent="0.35">
      <c r="A76" s="5" t="s">
        <v>94</v>
      </c>
      <c r="B76" s="13">
        <v>4.6862231646227171E-3</v>
      </c>
      <c r="C76" s="13">
        <v>9.1706506458311674E-4</v>
      </c>
      <c r="E76" t="str">
        <v>The Walt Disney Company</v>
      </c>
      <c r="F76">
        <v>86.13</v>
      </c>
      <c r="G76">
        <v>0.77</v>
      </c>
      <c r="H76">
        <v>13638000</v>
      </c>
      <c r="I76">
        <v>157.38499999999999</v>
      </c>
    </row>
    <row r="77" spans="1:9" x14ac:dyDescent="0.35">
      <c r="A77" s="5" t="s">
        <v>31</v>
      </c>
      <c r="B77" s="13">
        <v>6.3384196632268377E-3</v>
      </c>
      <c r="C77" s="13">
        <v>4.7839886691776164E-4</v>
      </c>
      <c r="E77" t="str">
        <v>Itaú Unibanco Holding S.A.</v>
      </c>
      <c r="F77">
        <v>6</v>
      </c>
      <c r="G77">
        <v>0.1</v>
      </c>
      <c r="H77">
        <v>13535000</v>
      </c>
      <c r="I77">
        <v>58.8</v>
      </c>
    </row>
    <row r="78" spans="1:9" x14ac:dyDescent="0.35">
      <c r="A78" s="5" t="s">
        <v>8</v>
      </c>
      <c r="B78" s="13">
        <v>1.8513258582612102E-2</v>
      </c>
      <c r="C78" s="13">
        <v>3.6965990003727869E-3</v>
      </c>
      <c r="E78" t="str">
        <v>Li Auto Inc.</v>
      </c>
      <c r="F78">
        <v>42.72</v>
      </c>
      <c r="G78">
        <v>3.73</v>
      </c>
      <c r="H78">
        <v>13517000</v>
      </c>
      <c r="I78">
        <v>42.280999999999999</v>
      </c>
    </row>
    <row r="79" spans="1:9" x14ac:dyDescent="0.35">
      <c r="A79" s="5" t="s">
        <v>78</v>
      </c>
      <c r="B79" s="13">
        <v>7.650379879884441E-3</v>
      </c>
      <c r="C79" s="13">
        <v>3.9002289302913698E-4</v>
      </c>
      <c r="E79" t="str">
        <v>KE Holdings Inc.</v>
      </c>
      <c r="F79">
        <v>17.989999999999998</v>
      </c>
      <c r="G79">
        <v>0.61</v>
      </c>
      <c r="H79">
        <v>13369000</v>
      </c>
      <c r="I79">
        <v>22.59</v>
      </c>
    </row>
    <row r="80" spans="1:9" x14ac:dyDescent="0.35">
      <c r="A80" s="5" t="s">
        <v>72</v>
      </c>
      <c r="B80" s="13">
        <v>2.3278085441836304E-2</v>
      </c>
      <c r="C80" s="13">
        <v>1.8428946885601469E-3</v>
      </c>
      <c r="E80" t="str">
        <v>Kenvue Inc.</v>
      </c>
      <c r="F80">
        <v>24.4</v>
      </c>
      <c r="G80">
        <v>0.16</v>
      </c>
      <c r="H80">
        <v>13218000</v>
      </c>
      <c r="I80">
        <v>46.722999999999999</v>
      </c>
    </row>
    <row r="81" spans="1:9" x14ac:dyDescent="0.35">
      <c r="A81" s="5" t="s">
        <v>99</v>
      </c>
      <c r="B81" s="13">
        <v>4.4131987374803677E-3</v>
      </c>
      <c r="C81" s="13">
        <v>1.8641633526893762E-2</v>
      </c>
      <c r="E81" t="str">
        <v>Coupang, Inc.</v>
      </c>
      <c r="F81">
        <v>18.010000000000002</v>
      </c>
      <c r="G81">
        <v>1.03</v>
      </c>
      <c r="H81">
        <v>13045000</v>
      </c>
      <c r="I81">
        <v>32.036999999999999</v>
      </c>
    </row>
    <row r="82" spans="1:9" x14ac:dyDescent="0.35">
      <c r="A82" s="5" t="s">
        <v>58</v>
      </c>
      <c r="B82" s="13">
        <v>7.5391195778639845E-3</v>
      </c>
      <c r="C82" s="13">
        <v>2.8876301683145992E-3</v>
      </c>
      <c r="E82" t="str">
        <v>Tencent Music Entertainment Group</v>
      </c>
      <c r="F82">
        <v>7.13</v>
      </c>
      <c r="G82">
        <v>0.78</v>
      </c>
      <c r="H82">
        <v>12656000</v>
      </c>
      <c r="I82">
        <v>13.409000000000001</v>
      </c>
    </row>
    <row r="83" spans="1:9" x14ac:dyDescent="0.35">
      <c r="A83" s="5" t="s">
        <v>37</v>
      </c>
      <c r="B83" s="13">
        <v>1.8657934948038021E-2</v>
      </c>
      <c r="C83" s="13">
        <v>2.4989219591945492E-3</v>
      </c>
      <c r="E83" t="str">
        <v>Wells Fargo &amp; Company</v>
      </c>
      <c r="F83">
        <v>46.14</v>
      </c>
      <c r="G83">
        <v>0.37</v>
      </c>
      <c r="H83">
        <v>12618000</v>
      </c>
      <c r="I83">
        <v>169.226</v>
      </c>
    </row>
    <row r="84" spans="1:9" x14ac:dyDescent="0.35">
      <c r="A84" s="5" t="s">
        <v>20</v>
      </c>
      <c r="B84" s="13">
        <v>2.2102067846760009E-2</v>
      </c>
      <c r="C84" s="13">
        <v>1.3126388452283989E-3</v>
      </c>
      <c r="E84" t="str">
        <v>Live Nation Entertainment, Inc.</v>
      </c>
      <c r="F84">
        <v>89.33</v>
      </c>
      <c r="G84">
        <v>-7.6</v>
      </c>
      <c r="H84">
        <v>12572000</v>
      </c>
      <c r="I84">
        <v>21.263999999999999</v>
      </c>
    </row>
    <row r="85" spans="1:9" x14ac:dyDescent="0.35">
      <c r="A85" s="5" t="s">
        <v>93</v>
      </c>
      <c r="B85" s="13">
        <v>4.7530552914336402E-3</v>
      </c>
      <c r="C85" s="13">
        <v>2.929407901425585E-3</v>
      </c>
      <c r="E85" t="str">
        <v>Southwest Airlines Co.</v>
      </c>
      <c r="F85">
        <v>33.700000000000003</v>
      </c>
      <c r="G85">
        <v>0.68</v>
      </c>
      <c r="H85">
        <v>12517000</v>
      </c>
      <c r="I85">
        <v>20.053999999999998</v>
      </c>
    </row>
    <row r="86" spans="1:9" x14ac:dyDescent="0.35">
      <c r="A86" s="5" t="s">
        <v>36</v>
      </c>
      <c r="B86" s="13">
        <v>7.0804081620253782E-3</v>
      </c>
      <c r="C86" s="13">
        <v>1.0359709203605391E-3</v>
      </c>
      <c r="E86" t="str">
        <v>Reata Pharmaceuticals, Inc.</v>
      </c>
      <c r="F86">
        <v>167.19</v>
      </c>
      <c r="G86">
        <v>58.64</v>
      </c>
      <c r="H86">
        <v>12341000</v>
      </c>
      <c r="I86">
        <v>6.2779999999999996</v>
      </c>
    </row>
    <row r="87" spans="1:9" x14ac:dyDescent="0.35">
      <c r="A87" s="5" t="s">
        <v>75</v>
      </c>
      <c r="B87" s="13">
        <v>9.7552121464352659E-3</v>
      </c>
      <c r="C87" s="13">
        <v>7.4615615640180957E-4</v>
      </c>
      <c r="E87" t="str">
        <v>Farfetch Limited</v>
      </c>
      <c r="F87">
        <v>5.58</v>
      </c>
      <c r="G87">
        <v>0.33</v>
      </c>
      <c r="H87">
        <v>12186000</v>
      </c>
      <c r="I87">
        <v>2.2069999999999999</v>
      </c>
    </row>
    <row r="88" spans="1:9" x14ac:dyDescent="0.35">
      <c r="A88" s="5" t="s">
        <v>104</v>
      </c>
      <c r="B88" s="13">
        <v>4.1724511897637487E-3</v>
      </c>
      <c r="C88" s="13">
        <v>4.9966753104699101E-3</v>
      </c>
      <c r="E88" t="str">
        <v>Nokia Oyj</v>
      </c>
      <c r="F88">
        <v>3.93</v>
      </c>
      <c r="G88">
        <v>0.03</v>
      </c>
      <c r="H88">
        <v>12088000</v>
      </c>
      <c r="I88">
        <v>21.824000000000002</v>
      </c>
    </row>
    <row r="89" spans="1:9" x14ac:dyDescent="0.35">
      <c r="A89" s="5" t="s">
        <v>91</v>
      </c>
      <c r="B89" s="13">
        <v>4.8058374824945394E-3</v>
      </c>
      <c r="C89" s="13">
        <v>1.9587329485496996E-3</v>
      </c>
      <c r="E89" t="str">
        <v>PG&amp;E Corporation</v>
      </c>
      <c r="F89">
        <v>17.66</v>
      </c>
      <c r="G89">
        <v>7.0000000000000007E-2</v>
      </c>
      <c r="H89">
        <v>12031000</v>
      </c>
      <c r="I89">
        <v>41.426000000000002</v>
      </c>
    </row>
    <row r="90" spans="1:9" x14ac:dyDescent="0.35">
      <c r="A90" s="5" t="s">
        <v>7</v>
      </c>
      <c r="B90" s="13">
        <v>4.2319165935057398E-2</v>
      </c>
      <c r="C90" s="13">
        <v>0.12335854410150998</v>
      </c>
      <c r="E90" t="str">
        <v>CSX Corporation</v>
      </c>
      <c r="F90">
        <v>33.799999999999997</v>
      </c>
      <c r="G90">
        <v>0.77</v>
      </c>
      <c r="H90">
        <v>12014000</v>
      </c>
      <c r="I90">
        <v>67.813999999999993</v>
      </c>
    </row>
    <row r="91" spans="1:9" x14ac:dyDescent="0.35">
      <c r="A91" s="5" t="s">
        <v>61</v>
      </c>
      <c r="B91" s="13">
        <v>5.1787303718600292E-3</v>
      </c>
      <c r="C91" s="13">
        <v>2.2990169670183792E-2</v>
      </c>
      <c r="E91" t="str">
        <v>Affirm Holdings, Inc.</v>
      </c>
      <c r="F91">
        <v>17.27</v>
      </c>
      <c r="G91">
        <v>0.84</v>
      </c>
      <c r="H91">
        <v>11982000</v>
      </c>
      <c r="I91">
        <v>5.1059999999999999</v>
      </c>
    </row>
    <row r="92" spans="1:9" x14ac:dyDescent="0.35">
      <c r="A92" s="5" t="s">
        <v>62</v>
      </c>
      <c r="B92" s="13">
        <v>4.3505436185951284E-3</v>
      </c>
      <c r="C92" s="13">
        <v>6.4228151998494852E-3</v>
      </c>
      <c r="E92" t="str">
        <v>Fisker Inc.</v>
      </c>
      <c r="F92">
        <v>5.9</v>
      </c>
      <c r="G92">
        <v>0.26</v>
      </c>
      <c r="H92">
        <v>11946000</v>
      </c>
      <c r="I92">
        <v>2.0209999999999999</v>
      </c>
    </row>
    <row r="93" spans="1:9" x14ac:dyDescent="0.35">
      <c r="A93" s="5" t="s">
        <v>64</v>
      </c>
      <c r="B93" s="13">
        <v>4.3718083862167856E-3</v>
      </c>
      <c r="C93" s="13">
        <v>8.8539578997311047E-3</v>
      </c>
      <c r="E93" t="str">
        <v>Micron Technology, Inc.</v>
      </c>
      <c r="F93">
        <v>71.2</v>
      </c>
      <c r="G93">
        <v>0.13</v>
      </c>
      <c r="H93">
        <v>11936000</v>
      </c>
      <c r="I93">
        <v>77.984999999999999</v>
      </c>
    </row>
    <row r="94" spans="1:9" x14ac:dyDescent="0.35">
      <c r="A94" s="5" t="s">
        <v>42</v>
      </c>
      <c r="B94" s="13">
        <v>6.5142337240987535E-3</v>
      </c>
      <c r="C94" s="13">
        <v>1.4231745467846342E-2</v>
      </c>
      <c r="E94" t="str">
        <v>Upstart Holdings, Inc.</v>
      </c>
      <c r="F94">
        <v>65.180000000000007</v>
      </c>
      <c r="G94">
        <v>6.24</v>
      </c>
      <c r="H94">
        <v>11790000</v>
      </c>
      <c r="I94">
        <v>5.3879999999999999</v>
      </c>
    </row>
    <row r="95" spans="1:9" x14ac:dyDescent="0.35">
      <c r="A95" s="5" t="s">
        <v>103</v>
      </c>
      <c r="B95" s="13">
        <v>4.1883997654799917E-3</v>
      </c>
      <c r="C95" s="13">
        <v>8.1612655556321655E-4</v>
      </c>
      <c r="E95" t="str">
        <v>QUALCOMM Incorporated</v>
      </c>
      <c r="F95">
        <v>129.47999999999999</v>
      </c>
      <c r="G95">
        <v>3.63</v>
      </c>
      <c r="H95">
        <v>11765000</v>
      </c>
      <c r="I95">
        <v>144.24100000000001</v>
      </c>
    </row>
    <row r="96" spans="1:9" x14ac:dyDescent="0.35">
      <c r="A96" s="5" t="s">
        <v>96</v>
      </c>
      <c r="B96" s="13">
        <v>4.4769930403453402E-3</v>
      </c>
      <c r="C96" s="13">
        <v>7.8705743357340447E-4</v>
      </c>
      <c r="E96" t="str">
        <v>PDD Holdings Inc.</v>
      </c>
      <c r="F96">
        <v>89.35</v>
      </c>
      <c r="G96">
        <v>4.82</v>
      </c>
      <c r="H96">
        <v>11685000</v>
      </c>
      <c r="I96">
        <v>118.71</v>
      </c>
    </row>
    <row r="97" spans="1:9" x14ac:dyDescent="0.35">
      <c r="A97" s="5" t="s">
        <v>33</v>
      </c>
      <c r="B97" s="13">
        <v>1.201079642630391E-2</v>
      </c>
      <c r="C97" s="13">
        <v>9.023990351973021E-3</v>
      </c>
      <c r="E97" t="str">
        <v>RTX Corporation</v>
      </c>
      <c r="F97">
        <v>87.34</v>
      </c>
      <c r="G97">
        <v>2.17</v>
      </c>
      <c r="H97">
        <v>11622000</v>
      </c>
      <c r="I97">
        <v>127.616</v>
      </c>
    </row>
    <row r="98" spans="1:9" x14ac:dyDescent="0.35">
      <c r="A98" s="5" t="s">
        <v>40</v>
      </c>
      <c r="B98" s="13">
        <v>1.1639042720918152E-2</v>
      </c>
      <c r="C98" s="13">
        <v>2.0897923266866816E-2</v>
      </c>
      <c r="E98" t="str">
        <v>Bristol-Myers Squibb Company</v>
      </c>
      <c r="F98">
        <v>61.41</v>
      </c>
      <c r="G98">
        <v>0.68</v>
      </c>
      <c r="H98">
        <v>11595000</v>
      </c>
      <c r="I98">
        <v>129.01300000000001</v>
      </c>
    </row>
    <row r="99" spans="1:9" x14ac:dyDescent="0.35">
      <c r="A99" s="5" t="s">
        <v>71</v>
      </c>
      <c r="B99" s="13">
        <v>4.3004195234869359E-3</v>
      </c>
      <c r="C99" s="13">
        <v>3.7578048401402807E-3</v>
      </c>
      <c r="E99" t="str">
        <v>U.S. Bancorp</v>
      </c>
      <c r="F99">
        <v>39.54</v>
      </c>
      <c r="G99">
        <v>0.72</v>
      </c>
      <c r="H99">
        <v>11513000</v>
      </c>
      <c r="I99">
        <v>60.612000000000002</v>
      </c>
    </row>
    <row r="100" spans="1:9" x14ac:dyDescent="0.35">
      <c r="A100" s="5" t="s">
        <v>63</v>
      </c>
      <c r="B100" s="13">
        <v>6.1280503549697284E-3</v>
      </c>
      <c r="C100" s="13">
        <v>4.5514356932591198E-3</v>
      </c>
      <c r="E100" t="str">
        <v>Truist Financial Corporation</v>
      </c>
      <c r="F100">
        <v>33.01</v>
      </c>
      <c r="G100">
        <v>1.02</v>
      </c>
      <c r="H100">
        <v>11457000</v>
      </c>
      <c r="I100">
        <v>43.969000000000001</v>
      </c>
    </row>
    <row r="101" spans="1:9" x14ac:dyDescent="0.35">
      <c r="A101" s="5" t="s">
        <v>56</v>
      </c>
      <c r="B101" s="13">
        <v>4.7914078187512718E-3</v>
      </c>
      <c r="C101" s="13">
        <v>2.4719855466572561E-2</v>
      </c>
      <c r="E101" t="str">
        <v>First Solar, Inc.</v>
      </c>
      <c r="F101">
        <v>208.4</v>
      </c>
      <c r="G101">
        <v>9.6</v>
      </c>
      <c r="H101">
        <v>11362000</v>
      </c>
      <c r="I101">
        <v>22.263000000000002</v>
      </c>
    </row>
    <row r="102" spans="1:9" x14ac:dyDescent="0.35">
      <c r="A102" s="5" t="s">
        <v>44</v>
      </c>
      <c r="B102" s="13">
        <v>2.2612801997673026E-2</v>
      </c>
      <c r="C102" s="13">
        <v>3.2040307624348653E-3</v>
      </c>
      <c r="E102" t="str">
        <v>Walgreens Boots Alliance, Inc.</v>
      </c>
      <c r="F102">
        <v>29.8</v>
      </c>
      <c r="G102">
        <v>-0.83</v>
      </c>
      <c r="H102">
        <v>11325000</v>
      </c>
      <c r="I102">
        <v>25.725000000000001</v>
      </c>
    </row>
    <row r="103" spans="1:9" x14ac:dyDescent="0.35">
      <c r="A103" s="5" t="s">
        <v>111</v>
      </c>
      <c r="B103" s="13">
        <v>1</v>
      </c>
      <c r="C103" s="13">
        <v>1</v>
      </c>
      <c r="E103" t="str">
        <v>Barrick Gold Corporation</v>
      </c>
      <c r="F103">
        <v>16.98</v>
      </c>
      <c r="G103">
        <v>0.2</v>
      </c>
      <c r="H103">
        <v>11243000</v>
      </c>
      <c r="I103">
        <v>29.808</v>
      </c>
    </row>
    <row r="104" spans="1:9" x14ac:dyDescent="0.35">
      <c r="E104" t="str">
        <v>Norwegian Cruise Line Holdings Ltd.</v>
      </c>
      <c r="F104">
        <v>21.54</v>
      </c>
      <c r="G104">
        <v>0.21</v>
      </c>
      <c r="H104">
        <v>11235000</v>
      </c>
      <c r="I104">
        <v>9.1370000000000005</v>
      </c>
    </row>
    <row r="105" spans="1:9" x14ac:dyDescent="0.35">
      <c r="E105" t="str">
        <v>Equitrans Midstream Corporation</v>
      </c>
      <c r="F105">
        <v>10.33</v>
      </c>
      <c r="G105">
        <v>0.22</v>
      </c>
      <c r="H105">
        <v>11179000</v>
      </c>
      <c r="I105">
        <v>4.4749999999999996</v>
      </c>
    </row>
    <row r="106" spans="1:9" x14ac:dyDescent="0.35">
      <c r="E106" t="str">
        <v>ChargePoint Holdings, Inc.</v>
      </c>
      <c r="F106">
        <v>8.23</v>
      </c>
      <c r="G106">
        <v>0.3</v>
      </c>
      <c r="H106">
        <v>11061000</v>
      </c>
      <c r="I106">
        <v>2.9079999999999999</v>
      </c>
    </row>
    <row r="107" spans="1:9" x14ac:dyDescent="0.35">
      <c r="E107" t="str">
        <v>United States Steel Corporation</v>
      </c>
      <c r="F107">
        <v>24.67</v>
      </c>
      <c r="G107">
        <v>-0.36</v>
      </c>
      <c r="H107">
        <v>11030000</v>
      </c>
      <c r="I107">
        <v>5.5869999999999997</v>
      </c>
    </row>
    <row r="108" spans="1:9" x14ac:dyDescent="0.35">
      <c r="E108" t="str">
        <v>TC Energy Corporation</v>
      </c>
      <c r="F108">
        <v>34.17</v>
      </c>
      <c r="G108">
        <v>-1.62</v>
      </c>
      <c r="H108">
        <v>10988000</v>
      </c>
      <c r="I108">
        <v>34.206000000000003</v>
      </c>
    </row>
  </sheetData>
  <mergeCells count="1">
    <mergeCell ref="A1:C2"/>
  </mergeCell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95812-E825-4945-A740-40FFAE2FA2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 Panel</vt:lpstr>
      <vt:lpstr>Power Query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Sebastian Dal Moro</cp:lastModifiedBy>
  <dcterms:created xsi:type="dcterms:W3CDTF">2023-07-23T19:00:04Z</dcterms:created>
  <dcterms:modified xsi:type="dcterms:W3CDTF">2024-01-18T07:03:34Z</dcterms:modified>
</cp:coreProperties>
</file>